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68800" windowHeight="28200" tabRatio="600" firstSheet="0" activeTab="1" autoFilterDateGrouping="1"/>
  </bookViews>
  <sheets>
    <sheet name="Reference" sheetId="1" state="visible" r:id="rId1"/>
    <sheet name="Severe Weather" sheetId="2" state="visible" r:id="rId2"/>
    <sheet name="Severe Examples" sheetId="3" state="visible" r:id="rId3"/>
    <sheet name="Heat" sheetId="4" state="visible" r:id="rId4"/>
    <sheet name="Heat Examples" sheetId="5" state="visible" r:id="rId5"/>
    <sheet name="Winter Weather" sheetId="6" state="visible" r:id="rId6"/>
    <sheet name="Winter Examples" sheetId="7" state="visible" r:id="rId7"/>
    <sheet name="Lists" sheetId="8" state="hidden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C05B18"/>
      <sz val="16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i val="1"/>
      <color rgb="FF888888"/>
      <sz val="9"/>
    </font>
    <font>
      <name val="Calibri"/>
      <b val="1"/>
      <color rgb="FF1F2735"/>
      <sz val="12"/>
    </font>
    <font>
      <name val="Calibri"/>
      <b val="1"/>
      <sz val="11"/>
    </font>
    <font>
      <name val="Calibri"/>
      <b val="1"/>
      <sz val="14"/>
    </font>
    <font>
      <name val="Calibri"/>
      <b val="1"/>
      <color rgb="FFC05B18"/>
      <sz val="18"/>
    </font>
    <font>
      <name val="Calibri"/>
      <sz val="11"/>
    </font>
    <font>
      <b val="1"/>
      <color rgb="00C05B18"/>
      <sz val="16"/>
    </font>
    <font>
      <i val="1"/>
      <color rgb="00666666"/>
    </font>
    <font>
      <b val="1"/>
      <color rgb="00FFFFFF"/>
    </font>
    <font>
      <b val="1"/>
    </font>
    <font>
      <i val="1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FF1F2735"/>
      </patternFill>
    </fill>
    <fill>
      <patternFill patternType="solid">
        <fgColor rgb="FFFFF3E9"/>
      </patternFill>
    </fill>
    <fill>
      <patternFill patternType="solid">
        <fgColor rgb="FFEFEFEF"/>
      </patternFill>
    </fill>
    <fill>
      <patternFill patternType="solid">
        <fgColor rgb="FF4ADE80"/>
      </patternFill>
    </fill>
    <fill>
      <patternFill patternType="solid">
        <fgColor rgb="FFFBBF24"/>
      </patternFill>
    </fill>
    <fill>
      <patternFill patternType="solid">
        <fgColor rgb="FFF97316"/>
      </patternFill>
    </fill>
    <fill>
      <patternFill patternType="solid">
        <fgColor rgb="FFF87171"/>
      </patternFill>
    </fill>
    <fill>
      <patternFill patternType="solid">
        <fgColor rgb="001F2735"/>
      </patternFill>
    </fill>
    <fill>
      <patternFill patternType="solid">
        <fgColor rgb="00FFF3E9"/>
      </patternFill>
    </fill>
    <fill>
      <patternFill patternType="solid">
        <fgColor rgb="00EFEFEF"/>
      </patternFill>
    </fill>
    <fill>
      <patternFill patternType="solid">
        <fgColor rgb="00E9F1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9" fillId="5" borderId="0" pivotButton="0" quotePrefix="0" xfId="0"/>
    <xf numFmtId="0" fontId="9" fillId="6" borderId="0" pivotButton="0" quotePrefix="0" xfId="0"/>
    <xf numFmtId="0" fontId="9" fillId="7" borderId="0" pivotButton="0" quotePrefix="0" xfId="0"/>
    <xf numFmtId="0" fontId="9" fillId="8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6" fillId="0" borderId="1" pivotButton="0" quotePrefix="0" xfId="0"/>
    <xf numFmtId="0" fontId="6" fillId="4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10" borderId="2" pivotButton="0" quotePrefix="0" xfId="0"/>
    <xf numFmtId="0" fontId="0" fillId="11" borderId="2" pivotButton="0" quotePrefix="0" xfId="0"/>
    <xf numFmtId="0" fontId="13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0" fontId="0" fillId="12" borderId="2" pivotButton="0" quotePrefix="0" xfId="0"/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wrapText="1"/>
    </xf>
    <xf numFmtId="0" fontId="14" fillId="0" borderId="0" pivotButton="0" quotePrefix="0" xfId="0"/>
    <xf numFmtId="0" fontId="0" fillId="0" borderId="2" pivotButton="0" quotePrefix="0" xfId="0"/>
    <xf numFmtId="0" fontId="13" fillId="11" borderId="2" pivotButton="0" quotePrefix="0" xfId="0"/>
  </cellXfs>
  <cellStyles count="1">
    <cellStyle name="Normal" xfId="0" builtinId="0"/>
  </cellStyles>
  <dxfs count="16">
    <dxf>
      <fill>
        <patternFill patternType="solid">
          <fgColor rgb="FFF87171"/>
        </patternFill>
      </fill>
    </dxf>
    <dxf>
      <fill>
        <patternFill patternType="solid">
          <fgColor rgb="FFF97316"/>
        </patternFill>
      </fill>
    </dxf>
    <dxf>
      <fill>
        <patternFill patternType="solid">
          <fgColor rgb="FFFBBF24"/>
        </patternFill>
      </fill>
    </dxf>
    <dxf>
      <fill>
        <patternFill patternType="solid">
          <fgColor rgb="FF4ADE80"/>
        </patternFill>
      </fill>
    </dxf>
    <dxf>
      <fill>
        <patternFill patternType="solid">
          <fgColor rgb="FFF87171"/>
        </patternFill>
      </fill>
    </dxf>
    <dxf>
      <fill>
        <patternFill patternType="solid">
          <fgColor rgb="FFF97316"/>
        </patternFill>
      </fill>
    </dxf>
    <dxf>
      <fill>
        <patternFill patternType="solid">
          <fgColor rgb="FFFBBF24"/>
        </patternFill>
      </fill>
    </dxf>
    <dxf>
      <fill>
        <patternFill patternType="solid">
          <fgColor rgb="FF4ADE80"/>
        </patternFill>
      </fill>
    </dxf>
    <dxf>
      <fill>
        <patternFill patternType="solid">
          <fgColor rgb="FFF87171"/>
        </patternFill>
      </fill>
    </dxf>
    <dxf>
      <fill>
        <patternFill patternType="solid">
          <fgColor rgb="FFF97316"/>
        </patternFill>
      </fill>
    </dxf>
    <dxf>
      <fill>
        <patternFill patternType="solid">
          <fgColor rgb="FFFBBF24"/>
        </patternFill>
      </fill>
    </dxf>
    <dxf>
      <fill>
        <patternFill patternType="solid">
          <fgColor rgb="FF4ADE80"/>
        </patternFill>
      </fill>
    </dxf>
    <dxf>
      <fill>
        <patternFill patternType="solid">
          <fgColor rgb="004ADE80"/>
        </patternFill>
      </fill>
    </dxf>
    <dxf>
      <fill>
        <patternFill patternType="solid">
          <fgColor rgb="00FBBF24"/>
        </patternFill>
      </fill>
    </dxf>
    <dxf>
      <fill>
        <patternFill patternType="solid">
          <fgColor rgb="00F97316"/>
        </patternFill>
      </fill>
    </dxf>
    <dxf>
      <fill>
        <patternFill patternType="solid">
          <fgColor rgb="00F8717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tabSelected="0" workbookViewId="0">
      <selection activeCell="B46" sqref="B46"/>
    </sheetView>
  </sheetViews>
  <sheetFormatPr baseColWidth="10" defaultColWidth="8.83203125" defaultRowHeight="15"/>
  <cols>
    <col width="14" customWidth="1" style="22" min="1" max="1"/>
    <col width="90" customWidth="1" style="22" min="2" max="2"/>
  </cols>
  <sheetData>
    <row r="1" ht="24" customHeight="1" s="22">
      <c r="A1" s="1" t="inlineStr">
        <is>
          <t>Kestrel Scoring Calculator</t>
        </is>
      </c>
    </row>
    <row r="2">
      <c r="A2" s="21" t="inlineStr">
        <is>
          <t>Mirrors the scoring engine in script.js / README.md — for testing the math offline, not for production use.</t>
        </is>
      </c>
    </row>
    <row r="4">
      <c r="A4" s="2" t="n"/>
      <c r="B4" s="3" t="n"/>
    </row>
    <row r="5" ht="16" customHeight="1" s="22">
      <c r="A5" s="4" t="inlineStr">
        <is>
          <t>Formula</t>
        </is>
      </c>
      <c r="B5" s="3" t="inlineStr">
        <is>
          <t>Final Score = Σ(Raw Score × Weight) / 100 — rounded to nearest integer, clamped 0–100</t>
        </is>
      </c>
    </row>
    <row r="6">
      <c r="A6" s="2" t="n"/>
      <c r="B6" s="3" t="n"/>
    </row>
    <row r="7">
      <c r="A7" s="4" t="inlineStr">
        <is>
          <t>How to use this workbook</t>
        </is>
      </c>
      <c r="B7" s="3" t="n"/>
    </row>
    <row r="8" ht="16" customHeight="1" s="22">
      <c r="A8" s="2" t="inlineStr">
        <is>
          <t>1.</t>
        </is>
      </c>
      <c r="B8" s="3" t="inlineStr">
        <is>
          <t>Go to the Severe Weather, Heat, or Winter Weather tab.</t>
        </is>
      </c>
    </row>
    <row r="9" ht="16" customHeight="1" s="22">
      <c r="A9" s="2" t="inlineStr">
        <is>
          <t>2.</t>
        </is>
      </c>
      <c r="B9" s="3" t="inlineStr">
        <is>
          <t>Pick a condition from each dropdown in the 'Condition' column (yellow cells).</t>
        </is>
      </c>
    </row>
    <row r="10" ht="16" customHeight="1" s="22">
      <c r="A10" s="2" t="inlineStr">
        <is>
          <t>3.</t>
        </is>
      </c>
      <c r="B10" s="3" t="inlineStr">
        <is>
          <t>The Facility / Outdoor / Roads scores and stoplight bands update automatically.</t>
        </is>
      </c>
    </row>
    <row r="11" ht="32" customHeight="1" s="22">
      <c r="A11" s="2" t="inlineStr">
        <is>
          <t>4.</t>
        </is>
      </c>
      <c r="B11" s="3" t="inlineStr">
        <is>
          <t>Weights and raw-score tables match README.md — if you change WEIGHTS in script.js, update the matching cells here too.</t>
        </is>
      </c>
    </row>
    <row r="12">
      <c r="A12" s="2" t="n"/>
      <c r="B12" s="3" t="n"/>
    </row>
    <row r="13">
      <c r="A13" s="4" t="inlineStr">
        <is>
          <t>Stoplight bands</t>
        </is>
      </c>
      <c r="B13" s="3" t="n"/>
    </row>
    <row r="14" ht="16" customHeight="1" s="22">
      <c r="A14" s="2" t="inlineStr">
        <is>
          <t>0–24</t>
        </is>
      </c>
      <c r="B14" s="3" t="inlineStr">
        <is>
          <t>Green — Normal Operations</t>
        </is>
      </c>
    </row>
    <row r="15" ht="16" customHeight="1" s="22">
      <c r="A15" s="5" t="inlineStr">
        <is>
          <t>25–49</t>
        </is>
      </c>
      <c r="B15" s="3" t="inlineStr">
        <is>
          <t>Yellow — Elevated Caution</t>
        </is>
      </c>
    </row>
    <row r="16" ht="16" customHeight="1" s="22">
      <c r="A16" s="6" t="inlineStr">
        <is>
          <t>50–74</t>
        </is>
      </c>
      <c r="B16" s="3" t="inlineStr">
        <is>
          <t>Amber — High Risk</t>
        </is>
      </c>
    </row>
    <row r="17" ht="16" customHeight="1" s="22">
      <c r="A17" s="7" t="inlineStr">
        <is>
          <t>75–100</t>
        </is>
      </c>
      <c r="B17" s="3" t="inlineStr">
        <is>
          <t>Red — Severe Risk</t>
        </is>
      </c>
    </row>
    <row r="18">
      <c r="A18" s="8" t="n"/>
      <c r="B18" s="3" t="n"/>
    </row>
    <row r="19" ht="32" customHeight="1" s="22">
      <c r="A19" s="4" t="inlineStr">
        <is>
          <t>Reminder</t>
        </is>
      </c>
      <c r="B19" s="3" t="inlineStr">
        <is>
          <t>Multi-mode assessments are never combined or averaged — each hazard mode's three scores are fully independent, exactly as in the app.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0A5FA"/>
    <outlinePr summaryBelow="1" summaryRight="1"/>
    <pageSetUpPr/>
  </sheetPr>
  <dimension ref="A1:I16"/>
  <sheetViews>
    <sheetView showGridLines="0" tabSelected="0" workbookViewId="0">
      <selection activeCell="D18" sqref="D18"/>
    </sheetView>
  </sheetViews>
  <sheetFormatPr baseColWidth="10" defaultColWidth="8.83203125" defaultRowHeight="15"/>
  <cols>
    <col width="20" customWidth="1" style="22" min="1" max="1"/>
    <col width="26" customWidth="1" style="22" min="2" max="2"/>
    <col width="10" customWidth="1" style="22" min="3" max="3"/>
    <col width="13" customWidth="1" style="22" min="4" max="6"/>
    <col width="20" customWidth="1" style="22" min="7" max="9"/>
  </cols>
  <sheetData>
    <row r="1" ht="21" customHeight="1" s="22">
      <c r="A1" s="23" t="inlineStr">
        <is>
          <t>Kestrel — Severe Weather Scoring</t>
        </is>
      </c>
    </row>
    <row r="2">
      <c r="A2" s="21" t="inlineStr">
        <is>
          <t>Formula: Final Score = Σ(Raw Score × Weight) / 100, rounded, clamped to 0–100.</t>
        </is>
      </c>
    </row>
    <row r="4" ht="16" customHeight="1" s="22">
      <c r="A4" s="9" t="inlineStr">
        <is>
          <t>Input</t>
        </is>
      </c>
      <c r="B4" s="9" t="inlineStr">
        <is>
          <t>Condition (pick one)</t>
        </is>
      </c>
      <c r="C4" s="9" t="inlineStr">
        <is>
          <t>Raw Score</t>
        </is>
      </c>
      <c r="D4" s="9" t="inlineStr">
        <is>
          <t>Facility Wt %</t>
        </is>
      </c>
      <c r="E4" s="9" t="inlineStr">
        <is>
          <t>Outdoor Wt %</t>
        </is>
      </c>
      <c r="F4" s="9" t="inlineStr">
        <is>
          <t>Roads Wt %</t>
        </is>
      </c>
      <c r="G4" s="9" t="inlineStr">
        <is>
          <t>Facility Contribution</t>
        </is>
      </c>
      <c r="H4" s="9" t="inlineStr">
        <is>
          <t>Outdoor Contribution</t>
        </is>
      </c>
      <c r="I4" s="9" t="inlineStr">
        <is>
          <t>Roads Contribution</t>
        </is>
      </c>
    </row>
    <row r="5">
      <c r="A5" s="10" t="inlineStr">
        <is>
          <t>Rain</t>
        </is>
      </c>
      <c r="B5" s="11" t="inlineStr">
        <is>
          <t>&gt;1.5"</t>
        </is>
      </c>
      <c r="C5" s="12">
        <f>IFERROR(VLOOKUP(B5,Lists!$A$2:$B$5,2,FALSE),0)</f>
        <v/>
      </c>
      <c r="D5" s="10" t="n">
        <v>15</v>
      </c>
      <c r="E5" s="10" t="n">
        <v>20</v>
      </c>
      <c r="F5" s="10" t="n">
        <v>20</v>
      </c>
      <c r="G5" s="13">
        <f>C5*D5</f>
        <v/>
      </c>
      <c r="H5" s="13">
        <f>C5*E5</f>
        <v/>
      </c>
      <c r="I5" s="13">
        <f>C5*F5</f>
        <v/>
      </c>
    </row>
    <row r="6">
      <c r="A6" s="10" t="inlineStr">
        <is>
          <t>Hail</t>
        </is>
      </c>
      <c r="B6" s="11" t="inlineStr">
        <is>
          <t>≥1" diameter</t>
        </is>
      </c>
      <c r="C6" s="12">
        <f>IFERROR(VLOOKUP(B6,Lists!$D$2:$E$4,2,FALSE),0)</f>
        <v/>
      </c>
      <c r="D6" s="10" t="n">
        <v>15</v>
      </c>
      <c r="E6" s="10" t="n">
        <v>15</v>
      </c>
      <c r="F6" s="10" t="n">
        <v>15</v>
      </c>
      <c r="G6" s="13">
        <f>C6*D6</f>
        <v/>
      </c>
      <c r="H6" s="13">
        <f>C6*E6</f>
        <v/>
      </c>
      <c r="I6" s="13">
        <f>C6*F6</f>
        <v/>
      </c>
    </row>
    <row r="7">
      <c r="A7" s="10" t="inlineStr">
        <is>
          <t>Lightning</t>
        </is>
      </c>
      <c r="B7" s="11" t="inlineStr">
        <is>
          <t>Yes</t>
        </is>
      </c>
      <c r="C7" s="12">
        <f>IFERROR(VLOOKUP(B7,Lists!$G$2:$H$3,2,FALSE),0)</f>
        <v/>
      </c>
      <c r="D7" s="10" t="n">
        <v>5</v>
      </c>
      <c r="E7" s="10" t="n">
        <v>20</v>
      </c>
      <c r="F7" s="10" t="n">
        <v>5</v>
      </c>
      <c r="G7" s="13">
        <f>C7*D7</f>
        <v/>
      </c>
      <c r="H7" s="13">
        <f>C7*E7</f>
        <v/>
      </c>
      <c r="I7" s="13">
        <f>C7*F7</f>
        <v/>
      </c>
    </row>
    <row r="8">
      <c r="A8" s="10" t="inlineStr">
        <is>
          <t>Sustained Wind</t>
        </is>
      </c>
      <c r="B8" s="11" t="inlineStr">
        <is>
          <t>&lt;20 mph</t>
        </is>
      </c>
      <c r="C8" s="12">
        <f>IFERROR(VLOOKUP(B8,Lists!$J$2:$K$6,2,FALSE),0)</f>
        <v/>
      </c>
      <c r="D8" s="10" t="n">
        <v>20</v>
      </c>
      <c r="E8" s="10" t="n">
        <v>10</v>
      </c>
      <c r="F8" s="10" t="n">
        <v>5</v>
      </c>
      <c r="G8" s="13">
        <f>C8*D8</f>
        <v/>
      </c>
      <c r="H8" s="13">
        <f>C8*E8</f>
        <v/>
      </c>
      <c r="I8" s="13">
        <f>C8*F8</f>
        <v/>
      </c>
    </row>
    <row r="9">
      <c r="A9" s="10" t="inlineStr">
        <is>
          <t>Max Wind Gust</t>
        </is>
      </c>
      <c r="B9" s="11" t="inlineStr">
        <is>
          <t>&lt;30 mph</t>
        </is>
      </c>
      <c r="C9" s="12">
        <f>IFERROR(VLOOKUP(B9,Lists!$M$2:$N$6,2,FALSE),0)</f>
        <v/>
      </c>
      <c r="D9" s="10" t="n">
        <v>20</v>
      </c>
      <c r="E9" s="10" t="n">
        <v>10</v>
      </c>
      <c r="F9" s="10" t="n">
        <v>15</v>
      </c>
      <c r="G9" s="13">
        <f>C9*D9</f>
        <v/>
      </c>
      <c r="H9" s="13">
        <f>C9*E9</f>
        <v/>
      </c>
      <c r="I9" s="13">
        <f>C9*F9</f>
        <v/>
      </c>
    </row>
    <row r="10">
      <c r="A10" s="10" t="inlineStr">
        <is>
          <t>Flash Flood</t>
        </is>
      </c>
      <c r="B10" s="11" t="n"/>
      <c r="C10" s="12">
        <f>IFERROR(VLOOKUP(B10,Lists!$G$2:$H$3,2,FALSE),0)</f>
        <v/>
      </c>
      <c r="D10" s="10" t="n">
        <v>5</v>
      </c>
      <c r="E10" s="10" t="n">
        <v>5</v>
      </c>
      <c r="F10" s="10" t="n">
        <v>20</v>
      </c>
      <c r="G10" s="13">
        <f>C10*D10</f>
        <v/>
      </c>
      <c r="H10" s="13">
        <f>C10*E10</f>
        <v/>
      </c>
      <c r="I10" s="13">
        <f>C10*F10</f>
        <v/>
      </c>
    </row>
    <row r="11">
      <c r="A11" s="10" t="inlineStr">
        <is>
          <t>Tornado Possible</t>
        </is>
      </c>
      <c r="B11" s="11" t="n"/>
      <c r="C11" s="12">
        <f>IFERROR(VLOOKUP(B11,Lists!$G$2:$H$3,2,FALSE),0)</f>
        <v/>
      </c>
      <c r="D11" s="10" t="n">
        <v>20</v>
      </c>
      <c r="E11" s="10" t="n">
        <v>20</v>
      </c>
      <c r="F11" s="10" t="n">
        <v>20</v>
      </c>
      <c r="G11" s="13">
        <f>C11*D11</f>
        <v/>
      </c>
      <c r="H11" s="13">
        <f>C11*E11</f>
        <v/>
      </c>
      <c r="I11" s="13">
        <f>C11*F11</f>
        <v/>
      </c>
    </row>
    <row r="12">
      <c r="A12" s="24" t="inlineStr">
        <is>
          <t>Weight totals check</t>
        </is>
      </c>
      <c r="D12" s="24">
        <f>SUM(D5:D11)</f>
        <v/>
      </c>
      <c r="E12" s="24">
        <f>SUM(E5:E11)</f>
        <v/>
      </c>
      <c r="F12" s="24">
        <f>SUM(F5:F11)</f>
        <v/>
      </c>
    </row>
    <row r="14" ht="16" customHeight="1" s="22">
      <c r="A14" s="15" t="inlineStr">
        <is>
          <t>Final Scores</t>
        </is>
      </c>
      <c r="G14" s="16" t="inlineStr">
        <is>
          <t>Facility Ops</t>
        </is>
      </c>
      <c r="H14" s="16" t="inlineStr">
        <is>
          <t>Outdoor Activities</t>
        </is>
      </c>
      <c r="I14" s="16" t="inlineStr">
        <is>
          <t>Roads &amp; Travel</t>
        </is>
      </c>
    </row>
    <row r="15" ht="19" customHeight="1" s="22">
      <c r="G15" s="17">
        <f>MIN(100,MAX(0,ROUND(SUM(G5:G11)/100,0)))</f>
        <v/>
      </c>
      <c r="H15" s="17">
        <f>MIN(100,MAX(0,ROUND(SUM(H5:H11)/100,0)))</f>
        <v/>
      </c>
      <c r="I15" s="17">
        <f>MIN(100,MAX(0,ROUND(SUM(I5:I11)/100,0)))</f>
        <v/>
      </c>
    </row>
    <row r="16" ht="16" customHeight="1" s="22">
      <c r="G16" s="18">
        <f>IF(G15&lt;25,"Green — Normal Operations",IF(G15&lt;50,"Yellow — Elevated Caution",IF(G15&lt;75,"Amber — High Risk","Red — Severe Risk")))</f>
        <v/>
      </c>
      <c r="H16" s="18">
        <f>IF(H15&lt;25,"Green — Normal Operations",IF(H15&lt;50,"Yellow — Elevated Caution",IF(H15&lt;75,"Amber — High Risk","Red — Severe Risk")))</f>
        <v/>
      </c>
      <c r="I16" s="18">
        <f>IF(I15&lt;25,"Green — Normal Operations",IF(I15&lt;50,"Yellow — Elevated Caution",IF(I15&lt;75,"Amber — High Risk","Red — Severe Risk")))</f>
        <v/>
      </c>
    </row>
  </sheetData>
  <mergeCells count="2">
    <mergeCell ref="A2:H2"/>
    <mergeCell ref="A1:H1"/>
  </mergeCells>
  <conditionalFormatting sqref="G16:I16">
    <cfRule type="expression" priority="1" dxfId="3">
      <formula>ISNUMBER(SEARCH("Green",G16))</formula>
    </cfRule>
    <cfRule type="expression" priority="2" dxfId="2">
      <formula>ISNUMBER(SEARCH("Yellow",G16))</formula>
    </cfRule>
    <cfRule type="expression" priority="3" dxfId="1">
      <formula>ISNUMBER(SEARCH("Amber",G16))</formula>
    </cfRule>
    <cfRule type="expression" priority="4" dxfId="0">
      <formula>ISNUMBER(SEARCH("Red",G16))</formula>
    </cfRule>
  </conditionalFormatting>
  <dataValidations count="7">
    <dataValidation sqref="B5" showDropDown="0" showInputMessage="0" showErrorMessage="0" allowBlank="1" type="list">
      <formula1>Lists!$A$2:$A$5</formula1>
    </dataValidation>
    <dataValidation sqref="B6" showDropDown="0" showInputMessage="0" showErrorMessage="0" allowBlank="1" type="list">
      <formula1>Lists!$D$2:$D$4</formula1>
    </dataValidation>
    <dataValidation sqref="B7" showDropDown="0" showInputMessage="0" showErrorMessage="0" allowBlank="1" type="list">
      <formula1>Lists!$G$2:$G$3</formula1>
    </dataValidation>
    <dataValidation sqref="B8" showDropDown="0" showInputMessage="0" showErrorMessage="0" allowBlank="1" type="list">
      <formula1>Lists!$J$2:$J$6</formula1>
    </dataValidation>
    <dataValidation sqref="B9" showDropDown="0" showInputMessage="0" showErrorMessage="0" allowBlank="1" type="list">
      <formula1>Lists!$M$2:$M$6</formula1>
    </dataValidation>
    <dataValidation sqref="B10" showDropDown="0" showInputMessage="0" showErrorMessage="0" allowBlank="1" type="list">
      <formula1>Lists!$G$2:$G$3</formula1>
    </dataValidation>
    <dataValidation sqref="B11" showDropDown="0" showInputMessage="0" showErrorMessage="0" allowBlank="1" type="list">
      <formula1>Lists!$G$2:$G$3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0A5FA"/>
    <outlinePr summaryBelow="1" summaryRight="1"/>
    <pageSetUpPr/>
  </sheetPr>
  <dimension ref="A1:AB15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22" min="1" max="1"/>
    <col width="16" customWidth="1" style="22" min="2" max="2"/>
    <col hidden="1" width="13" customWidth="1" style="22" min="3" max="3"/>
    <col width="16" customWidth="1" style="22" min="4" max="4"/>
    <col hidden="1" width="13" customWidth="1" style="22" min="5" max="5"/>
    <col width="16" customWidth="1" style="22" min="6" max="6"/>
    <col hidden="1" width="13" customWidth="1" style="22" min="7" max="7"/>
    <col width="16" customWidth="1" style="22" min="8" max="8"/>
    <col hidden="1" width="13" customWidth="1" style="22" min="9" max="9"/>
    <col width="16" customWidth="1" style="22" min="10" max="10"/>
    <col hidden="1" width="13" customWidth="1" style="22" min="11" max="11"/>
    <col width="16" customWidth="1" style="22" min="12" max="12"/>
    <col hidden="1" width="13" customWidth="1" style="22" min="13" max="13"/>
    <col width="16" customWidth="1" style="22" min="14" max="14"/>
    <col hidden="1" width="13" customWidth="1" style="22" min="15" max="15"/>
    <col width="15" customWidth="1" style="22" min="16" max="16"/>
    <col width="15" customWidth="1" style="22" min="17" max="17"/>
    <col width="15" customWidth="1" style="22" min="18" max="18"/>
    <col width="15" customWidth="1" style="22" min="19" max="19"/>
    <col width="15" customWidth="1" style="22" min="20" max="20"/>
    <col width="15" customWidth="1" style="22" min="21" max="21"/>
    <col width="13" customWidth="1" style="22" min="22" max="22"/>
    <col width="13" customWidth="1" style="22" min="23" max="23"/>
    <col width="13" customWidth="1" style="22" min="24" max="24"/>
    <col width="13" customWidth="1" style="22" min="25" max="25"/>
    <col width="13" customWidth="1" style="22" min="26" max="26"/>
    <col width="13" customWidth="1" style="22" min="27" max="27"/>
    <col width="26" customWidth="1" style="22" min="28" max="28"/>
  </cols>
  <sheetData>
    <row r="1">
      <c r="A1" s="25" t="inlineStr">
        <is>
          <t>Kestrel — Severe Examples</t>
        </is>
      </c>
    </row>
    <row r="2">
      <c r="A2" s="26" t="inlineStr">
        <is>
          <t>Pre-built scenarios scored by the same formula/weights as the interactive tab. Fill in 'Your Ranking' per category from historical judgment, then check the Match column.</t>
        </is>
      </c>
    </row>
    <row r="5">
      <c r="A5" s="27" t="inlineStr">
        <is>
          <t>Scenario</t>
        </is>
      </c>
      <c r="B5" s="27" t="inlineStr">
        <is>
          <t>Rain</t>
        </is>
      </c>
      <c r="C5" s="27" t="inlineStr">
        <is>
          <t>Rain (raw)</t>
        </is>
      </c>
      <c r="D5" s="27" t="inlineStr">
        <is>
          <t>Hail</t>
        </is>
      </c>
      <c r="E5" s="27" t="inlineStr">
        <is>
          <t>Hail (raw)</t>
        </is>
      </c>
      <c r="F5" s="27" t="inlineStr">
        <is>
          <t>Lightning</t>
        </is>
      </c>
      <c r="G5" s="27" t="inlineStr">
        <is>
          <t>Lightning (raw)</t>
        </is>
      </c>
      <c r="H5" s="27" t="inlineStr">
        <is>
          <t>Sustained Wind</t>
        </is>
      </c>
      <c r="I5" s="27" t="inlineStr">
        <is>
          <t>Sustained Wind (raw)</t>
        </is>
      </c>
      <c r="J5" s="27" t="inlineStr">
        <is>
          <t>Max Wind Gust</t>
        </is>
      </c>
      <c r="K5" s="27" t="inlineStr">
        <is>
          <t>Max Wind Gust (raw)</t>
        </is>
      </c>
      <c r="L5" s="27" t="inlineStr">
        <is>
          <t>Flash Flood</t>
        </is>
      </c>
      <c r="M5" s="27" t="inlineStr">
        <is>
          <t>Flash Flood (raw)</t>
        </is>
      </c>
      <c r="N5" s="27" t="inlineStr">
        <is>
          <t>Tornado Possible</t>
        </is>
      </c>
      <c r="O5" s="27" t="inlineStr">
        <is>
          <t>Tornado Possible (raw)</t>
        </is>
      </c>
      <c r="P5" s="27" t="inlineStr">
        <is>
          <t>Facility Score</t>
        </is>
      </c>
      <c r="Q5" s="27" t="inlineStr">
        <is>
          <t>Facility Level</t>
        </is>
      </c>
      <c r="R5" s="27" t="inlineStr">
        <is>
          <t>Outdoor Score</t>
        </is>
      </c>
      <c r="S5" s="27" t="inlineStr">
        <is>
          <t>Outdoor Level</t>
        </is>
      </c>
      <c r="T5" s="27" t="inlineStr">
        <is>
          <t>Roads Score</t>
        </is>
      </c>
      <c r="U5" s="27" t="inlineStr">
        <is>
          <t>Roads Level</t>
        </is>
      </c>
      <c r="V5" s="27" t="inlineStr">
        <is>
          <t>Your: Facility</t>
        </is>
      </c>
      <c r="W5" s="27" t="inlineStr">
        <is>
          <t>Facility Match</t>
        </is>
      </c>
      <c r="X5" s="27" t="inlineStr">
        <is>
          <t>Your: Outdoor</t>
        </is>
      </c>
      <c r="Y5" s="27" t="inlineStr">
        <is>
          <t>Outdoor Match</t>
        </is>
      </c>
      <c r="Z5" s="27" t="inlineStr">
        <is>
          <t>Your: Roads</t>
        </is>
      </c>
      <c r="AA5" s="27" t="inlineStr">
        <is>
          <t>Roads Match</t>
        </is>
      </c>
      <c r="AB5" s="27" t="inlineStr">
        <is>
          <t>Notes</t>
        </is>
      </c>
    </row>
    <row r="6">
      <c r="A6" s="28" t="inlineStr">
        <is>
          <t>Quiet stable day</t>
        </is>
      </c>
      <c r="B6" s="29" t="inlineStr">
        <is>
          <t>None</t>
        </is>
      </c>
      <c r="C6" s="30">
        <f>IFERROR(VLOOKUP(B6,Lists!$A$2:$B$5,2,FALSE),0)</f>
        <v/>
      </c>
      <c r="D6" s="29" t="inlineStr">
        <is>
          <t>None</t>
        </is>
      </c>
      <c r="E6" s="30">
        <f>IFERROR(VLOOKUP(D6,Lists!$D$2:$E$4,2,FALSE),0)</f>
        <v/>
      </c>
      <c r="F6" s="29" t="inlineStr">
        <is>
          <t>No</t>
        </is>
      </c>
      <c r="G6" s="30">
        <f>IFERROR(VLOOKUP(F6,Lists!$G$2:$H$3,2,FALSE),0)</f>
        <v/>
      </c>
      <c r="H6" s="29" t="inlineStr">
        <is>
          <t>&lt;20 mph</t>
        </is>
      </c>
      <c r="I6" s="30">
        <f>IFERROR(VLOOKUP(H6,Lists!$J$2:$K$6,2,FALSE),0)</f>
        <v/>
      </c>
      <c r="J6" s="29" t="inlineStr">
        <is>
          <t>&lt;30 mph</t>
        </is>
      </c>
      <c r="K6" s="30">
        <f>IFERROR(VLOOKUP(J6,Lists!$M$2:$N$6,2,FALSE),0)</f>
        <v/>
      </c>
      <c r="L6" s="29" t="inlineStr">
        <is>
          <t>No</t>
        </is>
      </c>
      <c r="M6" s="30">
        <f>IFERROR(VLOOKUP(L6,Lists!$G$2:$H$3,2,FALSE),0)</f>
        <v/>
      </c>
      <c r="N6" s="29" t="inlineStr">
        <is>
          <t>No</t>
        </is>
      </c>
      <c r="O6" s="30">
        <f>IFERROR(VLOOKUP(N6,Lists!$G$2:$H$3,2,FALSE),0)</f>
        <v/>
      </c>
      <c r="P6" s="31">
        <f>MIN(100,MAX(0,ROUND((C6*15+E6*15+G6*5+I6*20+K6*20+M6*5+O6*20)/100,0)))</f>
        <v/>
      </c>
      <c r="Q6" s="32">
        <f>IF(P6&lt;25,"Green — Normal Operations",IF(P6&lt;50,"Yellow — Elevated Caution",IF(P6&lt;75,"Amber — High Risk","Red — Severe Risk")))</f>
        <v/>
      </c>
      <c r="R6" s="31">
        <f>MIN(100,MAX(0,ROUND((C6*20+E6*15+G6*20+I6*10+K6*10+M6*5+O6*20)/100,0)))</f>
        <v/>
      </c>
      <c r="S6" s="32">
        <f>IF(R6&lt;25,"Green — Normal Operations",IF(R6&lt;50,"Yellow — Elevated Caution",IF(R6&lt;75,"Amber — High Risk","Red — Severe Risk")))</f>
        <v/>
      </c>
      <c r="T6" s="31">
        <f>MIN(100,MAX(0,ROUND((C6*20+E6*15+G6*5+I6*5+K6*15+M6*20+O6*20)/100,0)))</f>
        <v/>
      </c>
      <c r="U6" s="32">
        <f>IF(T6&lt;25,"Green — Normal Operations",IF(T6&lt;50,"Yellow — Elevated Caution",IF(T6&lt;75,"Amber — High Risk","Red — Severe Risk")))</f>
        <v/>
      </c>
      <c r="V6" s="33" t="n"/>
      <c r="W6" s="34">
        <f>IF(V6="","",IF(V6=LEFT(Q6,FIND(" ",Q6)-1),"Match","Differs"))</f>
        <v/>
      </c>
      <c r="X6" s="33" t="n"/>
      <c r="Y6" s="34">
        <f>IF(X6="","",IF(X6=LEFT(S6,FIND(" ",S6)-1),"Match","Differs"))</f>
        <v/>
      </c>
      <c r="Z6" s="33" t="n"/>
      <c r="AA6" s="34">
        <f>IF(Z6="","",IF(Z6=LEFT(U6,FIND(" ",U6)-1),"Match","Differs"))</f>
        <v/>
      </c>
      <c r="AB6" s="35" t="n"/>
    </row>
    <row r="7">
      <c r="A7" s="28" t="inlineStr">
        <is>
          <t>Routine spring shower</t>
        </is>
      </c>
      <c r="B7" s="29" t="inlineStr">
        <is>
          <t>0.01–0.75"</t>
        </is>
      </c>
      <c r="C7" s="30">
        <f>IFERROR(VLOOKUP(B7,Lists!$A$2:$B$5,2,FALSE),0)</f>
        <v/>
      </c>
      <c r="D7" s="29" t="inlineStr">
        <is>
          <t>None</t>
        </is>
      </c>
      <c r="E7" s="30">
        <f>IFERROR(VLOOKUP(D7,Lists!$D$2:$E$4,2,FALSE),0)</f>
        <v/>
      </c>
      <c r="F7" s="29" t="inlineStr">
        <is>
          <t>Yes</t>
        </is>
      </c>
      <c r="G7" s="30">
        <f>IFERROR(VLOOKUP(F7,Lists!$G$2:$H$3,2,FALSE),0)</f>
        <v/>
      </c>
      <c r="H7" s="29" t="inlineStr">
        <is>
          <t>&lt;20 mph</t>
        </is>
      </c>
      <c r="I7" s="30">
        <f>IFERROR(VLOOKUP(H7,Lists!$J$2:$K$6,2,FALSE),0)</f>
        <v/>
      </c>
      <c r="J7" s="29" t="inlineStr">
        <is>
          <t>&lt;30 mph</t>
        </is>
      </c>
      <c r="K7" s="30">
        <f>IFERROR(VLOOKUP(J7,Lists!$M$2:$N$6,2,FALSE),0)</f>
        <v/>
      </c>
      <c r="L7" s="29" t="inlineStr">
        <is>
          <t>No</t>
        </is>
      </c>
      <c r="M7" s="30">
        <f>IFERROR(VLOOKUP(L7,Lists!$G$2:$H$3,2,FALSE),0)</f>
        <v/>
      </c>
      <c r="N7" s="29" t="inlineStr">
        <is>
          <t>No</t>
        </is>
      </c>
      <c r="O7" s="30">
        <f>IFERROR(VLOOKUP(N7,Lists!$G$2:$H$3,2,FALSE),0)</f>
        <v/>
      </c>
      <c r="P7" s="31">
        <f>MIN(100,MAX(0,ROUND((C7*15+E7*15+G7*5+I7*20+K7*20+M7*5+O7*20)/100,0)))</f>
        <v/>
      </c>
      <c r="Q7" s="32">
        <f>IF(P7&lt;25,"Green — Normal Operations",IF(P7&lt;50,"Yellow — Elevated Caution",IF(P7&lt;75,"Amber — High Risk","Red — Severe Risk")))</f>
        <v/>
      </c>
      <c r="R7" s="31">
        <f>MIN(100,MAX(0,ROUND((C7*20+E7*15+G7*20+I7*10+K7*10+M7*5+O7*20)/100,0)))</f>
        <v/>
      </c>
      <c r="S7" s="32">
        <f>IF(R7&lt;25,"Green — Normal Operations",IF(R7&lt;50,"Yellow — Elevated Caution",IF(R7&lt;75,"Amber — High Risk","Red — Severe Risk")))</f>
        <v/>
      </c>
      <c r="T7" s="31">
        <f>MIN(100,MAX(0,ROUND((C7*20+E7*15+G7*5+I7*5+K7*15+M7*20+O7*20)/100,0)))</f>
        <v/>
      </c>
      <c r="U7" s="32">
        <f>IF(T7&lt;25,"Green — Normal Operations",IF(T7&lt;50,"Yellow — Elevated Caution",IF(T7&lt;75,"Amber — High Risk","Red — Severe Risk")))</f>
        <v/>
      </c>
      <c r="V7" s="33" t="n"/>
      <c r="W7" s="34">
        <f>IF(V7="","",IF(V7=LEFT(Q7,FIND(" ",Q7)-1),"Match","Differs"))</f>
        <v/>
      </c>
      <c r="X7" s="33" t="n"/>
      <c r="Y7" s="34">
        <f>IF(X7="","",IF(X7=LEFT(S7,FIND(" ",S7)-1),"Match","Differs"))</f>
        <v/>
      </c>
      <c r="Z7" s="33" t="n"/>
      <c r="AA7" s="34">
        <f>IF(Z7="","",IF(Z7=LEFT(U7,FIND(" ",U7)-1),"Match","Differs"))</f>
        <v/>
      </c>
      <c r="AB7" s="35" t="n"/>
    </row>
    <row r="8">
      <c r="A8" s="28" t="inlineStr">
        <is>
          <t>Gusty storm, sub-severe</t>
        </is>
      </c>
      <c r="B8" s="29" t="inlineStr">
        <is>
          <t>0.75–1.5"</t>
        </is>
      </c>
      <c r="C8" s="30">
        <f>IFERROR(VLOOKUP(B8,Lists!$A$2:$B$5,2,FALSE),0)</f>
        <v/>
      </c>
      <c r="D8" s="29" t="inlineStr">
        <is>
          <t>&lt;1" diameter</t>
        </is>
      </c>
      <c r="E8" s="30">
        <f>IFERROR(VLOOKUP(D8,Lists!$D$2:$E$4,2,FALSE),0)</f>
        <v/>
      </c>
      <c r="F8" s="29" t="inlineStr">
        <is>
          <t>Yes</t>
        </is>
      </c>
      <c r="G8" s="30">
        <f>IFERROR(VLOOKUP(F8,Lists!$G$2:$H$3,2,FALSE),0)</f>
        <v/>
      </c>
      <c r="H8" s="29" t="inlineStr">
        <is>
          <t>20–30 mph</t>
        </is>
      </c>
      <c r="I8" s="30">
        <f>IFERROR(VLOOKUP(H8,Lists!$J$2:$K$6,2,FALSE),0)</f>
        <v/>
      </c>
      <c r="J8" s="29" t="inlineStr">
        <is>
          <t>30–40 mph</t>
        </is>
      </c>
      <c r="K8" s="30">
        <f>IFERROR(VLOOKUP(J8,Lists!$M$2:$N$6,2,FALSE),0)</f>
        <v/>
      </c>
      <c r="L8" s="29" t="inlineStr">
        <is>
          <t>No</t>
        </is>
      </c>
      <c r="M8" s="30">
        <f>IFERROR(VLOOKUP(L8,Lists!$G$2:$H$3,2,FALSE),0)</f>
        <v/>
      </c>
      <c r="N8" s="29" t="inlineStr">
        <is>
          <t>No</t>
        </is>
      </c>
      <c r="O8" s="30">
        <f>IFERROR(VLOOKUP(N8,Lists!$G$2:$H$3,2,FALSE),0)</f>
        <v/>
      </c>
      <c r="P8" s="31">
        <f>MIN(100,MAX(0,ROUND((C8*15+E8*15+G8*5+I8*20+K8*20+M8*5+O8*20)/100,0)))</f>
        <v/>
      </c>
      <c r="Q8" s="32">
        <f>IF(P8&lt;25,"Green — Normal Operations",IF(P8&lt;50,"Yellow — Elevated Caution",IF(P8&lt;75,"Amber — High Risk","Red — Severe Risk")))</f>
        <v/>
      </c>
      <c r="R8" s="31">
        <f>MIN(100,MAX(0,ROUND((C8*20+E8*15+G8*20+I8*10+K8*10+M8*5+O8*20)/100,0)))</f>
        <v/>
      </c>
      <c r="S8" s="32">
        <f>IF(R8&lt;25,"Green — Normal Operations",IF(R8&lt;50,"Yellow — Elevated Caution",IF(R8&lt;75,"Amber — High Risk","Red — Severe Risk")))</f>
        <v/>
      </c>
      <c r="T8" s="31">
        <f>MIN(100,MAX(0,ROUND((C8*20+E8*15+G8*5+I8*5+K8*15+M8*20+O8*20)/100,0)))</f>
        <v/>
      </c>
      <c r="U8" s="32">
        <f>IF(T8&lt;25,"Green — Normal Operations",IF(T8&lt;50,"Yellow — Elevated Caution",IF(T8&lt;75,"Amber — High Risk","Red — Severe Risk")))</f>
        <v/>
      </c>
      <c r="V8" s="33" t="n"/>
      <c r="W8" s="34">
        <f>IF(V8="","",IF(V8=LEFT(Q8,FIND(" ",Q8)-1),"Match","Differs"))</f>
        <v/>
      </c>
      <c r="X8" s="33" t="n"/>
      <c r="Y8" s="34">
        <f>IF(X8="","",IF(X8=LEFT(S8,FIND(" ",S8)-1),"Match","Differs"))</f>
        <v/>
      </c>
      <c r="Z8" s="33" t="n"/>
      <c r="AA8" s="34">
        <f>IF(Z8="","",IF(Z8=LEFT(U8,FIND(" ",U8)-1),"Match","Differs"))</f>
        <v/>
      </c>
      <c r="AB8" s="35" t="n"/>
    </row>
    <row r="9">
      <c r="A9" s="28" t="inlineStr">
        <is>
          <t>Severe t-storm warning, large hail</t>
        </is>
      </c>
      <c r="B9" s="29" t="inlineStr">
        <is>
          <t>0.75–1.5"</t>
        </is>
      </c>
      <c r="C9" s="30">
        <f>IFERROR(VLOOKUP(B9,Lists!$A$2:$B$5,2,FALSE),0)</f>
        <v/>
      </c>
      <c r="D9" s="29" t="inlineStr">
        <is>
          <t>≥1" diameter</t>
        </is>
      </c>
      <c r="E9" s="30">
        <f>IFERROR(VLOOKUP(D9,Lists!$D$2:$E$4,2,FALSE),0)</f>
        <v/>
      </c>
      <c r="F9" s="29" t="inlineStr">
        <is>
          <t>Yes</t>
        </is>
      </c>
      <c r="G9" s="30">
        <f>IFERROR(VLOOKUP(F9,Lists!$G$2:$H$3,2,FALSE),0)</f>
        <v/>
      </c>
      <c r="H9" s="29" t="inlineStr">
        <is>
          <t>30–40 mph</t>
        </is>
      </c>
      <c r="I9" s="30">
        <f>IFERROR(VLOOKUP(H9,Lists!$J$2:$K$6,2,FALSE),0)</f>
        <v/>
      </c>
      <c r="J9" s="29" t="inlineStr">
        <is>
          <t>40–50 mph</t>
        </is>
      </c>
      <c r="K9" s="30">
        <f>IFERROR(VLOOKUP(J9,Lists!$M$2:$N$6,2,FALSE),0)</f>
        <v/>
      </c>
      <c r="L9" s="29" t="inlineStr">
        <is>
          <t>No</t>
        </is>
      </c>
      <c r="M9" s="30">
        <f>IFERROR(VLOOKUP(L9,Lists!$G$2:$H$3,2,FALSE),0)</f>
        <v/>
      </c>
      <c r="N9" s="29" t="inlineStr">
        <is>
          <t>No</t>
        </is>
      </c>
      <c r="O9" s="30">
        <f>IFERROR(VLOOKUP(N9,Lists!$G$2:$H$3,2,FALSE),0)</f>
        <v/>
      </c>
      <c r="P9" s="31">
        <f>MIN(100,MAX(0,ROUND((C9*15+E9*15+G9*5+I9*20+K9*20+M9*5+O9*20)/100,0)))</f>
        <v/>
      </c>
      <c r="Q9" s="32">
        <f>IF(P9&lt;25,"Green — Normal Operations",IF(P9&lt;50,"Yellow — Elevated Caution",IF(P9&lt;75,"Amber — High Risk","Red — Severe Risk")))</f>
        <v/>
      </c>
      <c r="R9" s="31">
        <f>MIN(100,MAX(0,ROUND((C9*20+E9*15+G9*20+I9*10+K9*10+M9*5+O9*20)/100,0)))</f>
        <v/>
      </c>
      <c r="S9" s="32">
        <f>IF(R9&lt;25,"Green — Normal Operations",IF(R9&lt;50,"Yellow — Elevated Caution",IF(R9&lt;75,"Amber — High Risk","Red — Severe Risk")))</f>
        <v/>
      </c>
      <c r="T9" s="31">
        <f>MIN(100,MAX(0,ROUND((C9*20+E9*15+G9*5+I9*5+K9*15+M9*20+O9*20)/100,0)))</f>
        <v/>
      </c>
      <c r="U9" s="32">
        <f>IF(T9&lt;25,"Green — Normal Operations",IF(T9&lt;50,"Yellow — Elevated Caution",IF(T9&lt;75,"Amber — High Risk","Red — Severe Risk")))</f>
        <v/>
      </c>
      <c r="V9" s="33" t="n"/>
      <c r="W9" s="34">
        <f>IF(V9="","",IF(V9=LEFT(Q9,FIND(" ",Q9)-1),"Match","Differs"))</f>
        <v/>
      </c>
      <c r="X9" s="33" t="n"/>
      <c r="Y9" s="34">
        <f>IF(X9="","",IF(X9=LEFT(S9,FIND(" ",S9)-1),"Match","Differs"))</f>
        <v/>
      </c>
      <c r="Z9" s="33" t="n"/>
      <c r="AA9" s="34">
        <f>IF(Z9="","",IF(Z9=LEFT(U9,FIND(" ",U9)-1),"Match","Differs"))</f>
        <v/>
      </c>
      <c r="AB9" s="35" t="n"/>
    </row>
    <row r="10">
      <c r="A10" s="28" t="inlineStr">
        <is>
          <t>Flash flood advisory, heavy rain</t>
        </is>
      </c>
      <c r="B10" s="29" t="inlineStr">
        <is>
          <t>&gt;1.5"</t>
        </is>
      </c>
      <c r="C10" s="30">
        <f>IFERROR(VLOOKUP(B10,Lists!$A$2:$B$5,2,FALSE),0)</f>
        <v/>
      </c>
      <c r="D10" s="29" t="inlineStr">
        <is>
          <t>None</t>
        </is>
      </c>
      <c r="E10" s="30">
        <f>IFERROR(VLOOKUP(D10,Lists!$D$2:$E$4,2,FALSE),0)</f>
        <v/>
      </c>
      <c r="F10" s="29" t="inlineStr">
        <is>
          <t>Yes</t>
        </is>
      </c>
      <c r="G10" s="30">
        <f>IFERROR(VLOOKUP(F10,Lists!$G$2:$H$3,2,FALSE),0)</f>
        <v/>
      </c>
      <c r="H10" s="29" t="inlineStr">
        <is>
          <t>20–30 mph</t>
        </is>
      </c>
      <c r="I10" s="30">
        <f>IFERROR(VLOOKUP(H10,Lists!$J$2:$K$6,2,FALSE),0)</f>
        <v/>
      </c>
      <c r="J10" s="29" t="inlineStr">
        <is>
          <t>30–40 mph</t>
        </is>
      </c>
      <c r="K10" s="30">
        <f>IFERROR(VLOOKUP(J10,Lists!$M$2:$N$6,2,FALSE),0)</f>
        <v/>
      </c>
      <c r="L10" s="29" t="inlineStr">
        <is>
          <t>Yes</t>
        </is>
      </c>
      <c r="M10" s="30">
        <f>IFERROR(VLOOKUP(L10,Lists!$G$2:$H$3,2,FALSE),0)</f>
        <v/>
      </c>
      <c r="N10" s="29" t="inlineStr">
        <is>
          <t>No</t>
        </is>
      </c>
      <c r="O10" s="30">
        <f>IFERROR(VLOOKUP(N10,Lists!$G$2:$H$3,2,FALSE),0)</f>
        <v/>
      </c>
      <c r="P10" s="31">
        <f>MIN(100,MAX(0,ROUND((C10*15+E10*15+G10*5+I10*20+K10*20+M10*5+O10*20)/100,0)))</f>
        <v/>
      </c>
      <c r="Q10" s="32">
        <f>IF(P10&lt;25,"Green — Normal Operations",IF(P10&lt;50,"Yellow — Elevated Caution",IF(P10&lt;75,"Amber — High Risk","Red — Severe Risk")))</f>
        <v/>
      </c>
      <c r="R10" s="31">
        <f>MIN(100,MAX(0,ROUND((C10*20+E10*15+G10*20+I10*10+K10*10+M10*5+O10*20)/100,0)))</f>
        <v/>
      </c>
      <c r="S10" s="32">
        <f>IF(R10&lt;25,"Green — Normal Operations",IF(R10&lt;50,"Yellow — Elevated Caution",IF(R10&lt;75,"Amber — High Risk","Red — Severe Risk")))</f>
        <v/>
      </c>
      <c r="T10" s="31">
        <f>MIN(100,MAX(0,ROUND((C10*20+E10*15+G10*5+I10*5+K10*15+M10*20+O10*20)/100,0)))</f>
        <v/>
      </c>
      <c r="U10" s="32">
        <f>IF(T10&lt;25,"Green — Normal Operations",IF(T10&lt;50,"Yellow — Elevated Caution",IF(T10&lt;75,"Amber — High Risk","Red — Severe Risk")))</f>
        <v/>
      </c>
      <c r="V10" s="33" t="n"/>
      <c r="W10" s="34">
        <f>IF(V10="","",IF(V10=LEFT(Q10,FIND(" ",Q10)-1),"Match","Differs"))</f>
        <v/>
      </c>
      <c r="X10" s="33" t="n"/>
      <c r="Y10" s="34">
        <f>IF(X10="","",IF(X10=LEFT(S10,FIND(" ",S10)-1),"Match","Differs"))</f>
        <v/>
      </c>
      <c r="Z10" s="33" t="n"/>
      <c r="AA10" s="34">
        <f>IF(Z10="","",IF(Z10=LEFT(U10,FIND(" ",U10)-1),"Match","Differs"))</f>
        <v/>
      </c>
      <c r="AB10" s="35" t="n"/>
    </row>
    <row r="11">
      <c r="A11" s="28" t="inlineStr">
        <is>
          <t>High wind event, dry line</t>
        </is>
      </c>
      <c r="B11" s="29" t="inlineStr">
        <is>
          <t>None</t>
        </is>
      </c>
      <c r="C11" s="30">
        <f>IFERROR(VLOOKUP(B11,Lists!$A$2:$B$5,2,FALSE),0)</f>
        <v/>
      </c>
      <c r="D11" s="29" t="inlineStr">
        <is>
          <t>None</t>
        </is>
      </c>
      <c r="E11" s="30">
        <f>IFERROR(VLOOKUP(D11,Lists!$D$2:$E$4,2,FALSE),0)</f>
        <v/>
      </c>
      <c r="F11" s="29" t="inlineStr">
        <is>
          <t>No</t>
        </is>
      </c>
      <c r="G11" s="30">
        <f>IFERROR(VLOOKUP(F11,Lists!$G$2:$H$3,2,FALSE),0)</f>
        <v/>
      </c>
      <c r="H11" s="29" t="inlineStr">
        <is>
          <t>40–50 mph</t>
        </is>
      </c>
      <c r="I11" s="30">
        <f>IFERROR(VLOOKUP(H11,Lists!$J$2:$K$6,2,FALSE),0)</f>
        <v/>
      </c>
      <c r="J11" s="29" t="inlineStr">
        <is>
          <t>50–60 mph</t>
        </is>
      </c>
      <c r="K11" s="30">
        <f>IFERROR(VLOOKUP(J11,Lists!$M$2:$N$6,2,FALSE),0)</f>
        <v/>
      </c>
      <c r="L11" s="29" t="inlineStr">
        <is>
          <t>No</t>
        </is>
      </c>
      <c r="M11" s="30">
        <f>IFERROR(VLOOKUP(L11,Lists!$G$2:$H$3,2,FALSE),0)</f>
        <v/>
      </c>
      <c r="N11" s="29" t="inlineStr">
        <is>
          <t>No</t>
        </is>
      </c>
      <c r="O11" s="30">
        <f>IFERROR(VLOOKUP(N11,Lists!$G$2:$H$3,2,FALSE),0)</f>
        <v/>
      </c>
      <c r="P11" s="31">
        <f>MIN(100,MAX(0,ROUND((C11*15+E11*15+G11*5+I11*20+K11*20+M11*5+O11*20)/100,0)))</f>
        <v/>
      </c>
      <c r="Q11" s="32">
        <f>IF(P11&lt;25,"Green — Normal Operations",IF(P11&lt;50,"Yellow — Elevated Caution",IF(P11&lt;75,"Amber — High Risk","Red — Severe Risk")))</f>
        <v/>
      </c>
      <c r="R11" s="31">
        <f>MIN(100,MAX(0,ROUND((C11*20+E11*15+G11*20+I11*10+K11*10+M11*5+O11*20)/100,0)))</f>
        <v/>
      </c>
      <c r="S11" s="32">
        <f>IF(R11&lt;25,"Green — Normal Operations",IF(R11&lt;50,"Yellow — Elevated Caution",IF(R11&lt;75,"Amber — High Risk","Red — Severe Risk")))</f>
        <v/>
      </c>
      <c r="T11" s="31">
        <f>MIN(100,MAX(0,ROUND((C11*20+E11*15+G11*5+I11*5+K11*15+M11*20+O11*20)/100,0)))</f>
        <v/>
      </c>
      <c r="U11" s="32">
        <f>IF(T11&lt;25,"Green — Normal Operations",IF(T11&lt;50,"Yellow — Elevated Caution",IF(T11&lt;75,"Amber — High Risk","Red — Severe Risk")))</f>
        <v/>
      </c>
      <c r="V11" s="33" t="n"/>
      <c r="W11" s="34">
        <f>IF(V11="","",IF(V11=LEFT(Q11,FIND(" ",Q11)-1),"Match","Differs"))</f>
        <v/>
      </c>
      <c r="X11" s="33" t="n"/>
      <c r="Y11" s="34">
        <f>IF(X11="","",IF(X11=LEFT(S11,FIND(" ",S11)-1),"Match","Differs"))</f>
        <v/>
      </c>
      <c r="Z11" s="33" t="n"/>
      <c r="AA11" s="34">
        <f>IF(Z11="","",IF(Z11=LEFT(U11,FIND(" ",U11)-1),"Match","Differs"))</f>
        <v/>
      </c>
      <c r="AB11" s="35" t="n"/>
    </row>
    <row r="12">
      <c r="A12" s="28" t="inlineStr">
        <is>
          <t>Tornado watch issued</t>
        </is>
      </c>
      <c r="B12" s="29" t="inlineStr">
        <is>
          <t>0.01–0.75"</t>
        </is>
      </c>
      <c r="C12" s="30">
        <f>IFERROR(VLOOKUP(B12,Lists!$A$2:$B$5,2,FALSE),0)</f>
        <v/>
      </c>
      <c r="D12" s="29" t="inlineStr">
        <is>
          <t>&lt;1" diameter</t>
        </is>
      </c>
      <c r="E12" s="30">
        <f>IFERROR(VLOOKUP(D12,Lists!$D$2:$E$4,2,FALSE),0)</f>
        <v/>
      </c>
      <c r="F12" s="29" t="inlineStr">
        <is>
          <t>Yes</t>
        </is>
      </c>
      <c r="G12" s="30">
        <f>IFERROR(VLOOKUP(F12,Lists!$G$2:$H$3,2,FALSE),0)</f>
        <v/>
      </c>
      <c r="H12" s="29" t="inlineStr">
        <is>
          <t>20–30 mph</t>
        </is>
      </c>
      <c r="I12" s="30">
        <f>IFERROR(VLOOKUP(H12,Lists!$J$2:$K$6,2,FALSE),0)</f>
        <v/>
      </c>
      <c r="J12" s="29" t="inlineStr">
        <is>
          <t>30–40 mph</t>
        </is>
      </c>
      <c r="K12" s="30">
        <f>IFERROR(VLOOKUP(J12,Lists!$M$2:$N$6,2,FALSE),0)</f>
        <v/>
      </c>
      <c r="L12" s="29" t="inlineStr">
        <is>
          <t>No</t>
        </is>
      </c>
      <c r="M12" s="30">
        <f>IFERROR(VLOOKUP(L12,Lists!$G$2:$H$3,2,FALSE),0)</f>
        <v/>
      </c>
      <c r="N12" s="29" t="inlineStr">
        <is>
          <t>Yes</t>
        </is>
      </c>
      <c r="O12" s="30">
        <f>IFERROR(VLOOKUP(N12,Lists!$G$2:$H$3,2,FALSE),0)</f>
        <v/>
      </c>
      <c r="P12" s="31">
        <f>MIN(100,MAX(0,ROUND((C12*15+E12*15+G12*5+I12*20+K12*20+M12*5+O12*20)/100,0)))</f>
        <v/>
      </c>
      <c r="Q12" s="32">
        <f>IF(P12&lt;25,"Green — Normal Operations",IF(P12&lt;50,"Yellow — Elevated Caution",IF(P12&lt;75,"Amber — High Risk","Red — Severe Risk")))</f>
        <v/>
      </c>
      <c r="R12" s="31">
        <f>MIN(100,MAX(0,ROUND((C12*20+E12*15+G12*20+I12*10+K12*10+M12*5+O12*20)/100,0)))</f>
        <v/>
      </c>
      <c r="S12" s="32">
        <f>IF(R12&lt;25,"Green — Normal Operations",IF(R12&lt;50,"Yellow — Elevated Caution",IF(R12&lt;75,"Amber — High Risk","Red — Severe Risk")))</f>
        <v/>
      </c>
      <c r="T12" s="31">
        <f>MIN(100,MAX(0,ROUND((C12*20+E12*15+G12*5+I12*5+K12*15+M12*20+O12*20)/100,0)))</f>
        <v/>
      </c>
      <c r="U12" s="32">
        <f>IF(T12&lt;25,"Green — Normal Operations",IF(T12&lt;50,"Yellow — Elevated Caution",IF(T12&lt;75,"Amber — High Risk","Red — Severe Risk")))</f>
        <v/>
      </c>
      <c r="V12" s="33" t="n"/>
      <c r="W12" s="34">
        <f>IF(V12="","",IF(V12=LEFT(Q12,FIND(" ",Q12)-1),"Match","Differs"))</f>
        <v/>
      </c>
      <c r="X12" s="33" t="n"/>
      <c r="Y12" s="34">
        <f>IF(X12="","",IF(X12=LEFT(S12,FIND(" ",S12)-1),"Match","Differs"))</f>
        <v/>
      </c>
      <c r="Z12" s="33" t="n"/>
      <c r="AA12" s="34">
        <f>IF(Z12="","",IF(Z12=LEFT(U12,FIND(" ",U12)-1),"Match","Differs"))</f>
        <v/>
      </c>
      <c r="AB12" s="35" t="n"/>
    </row>
    <row r="13">
      <c r="A13" s="28" t="inlineStr">
        <is>
          <t>Confirmed tornado on the ground</t>
        </is>
      </c>
      <c r="B13" s="29" t="inlineStr">
        <is>
          <t>0.75–1.5"</t>
        </is>
      </c>
      <c r="C13" s="30">
        <f>IFERROR(VLOOKUP(B13,Lists!$A$2:$B$5,2,FALSE),0)</f>
        <v/>
      </c>
      <c r="D13" s="29" t="inlineStr">
        <is>
          <t>≥1" diameter</t>
        </is>
      </c>
      <c r="E13" s="30">
        <f>IFERROR(VLOOKUP(D13,Lists!$D$2:$E$4,2,FALSE),0)</f>
        <v/>
      </c>
      <c r="F13" s="29" t="inlineStr">
        <is>
          <t>Yes</t>
        </is>
      </c>
      <c r="G13" s="30">
        <f>IFERROR(VLOOKUP(F13,Lists!$G$2:$H$3,2,FALSE),0)</f>
        <v/>
      </c>
      <c r="H13" s="29" t="inlineStr">
        <is>
          <t>&gt;50 mph</t>
        </is>
      </c>
      <c r="I13" s="30">
        <f>IFERROR(VLOOKUP(H13,Lists!$J$2:$K$6,2,FALSE),0)</f>
        <v/>
      </c>
      <c r="J13" s="29" t="inlineStr">
        <is>
          <t>&gt;60 mph</t>
        </is>
      </c>
      <c r="K13" s="30">
        <f>IFERROR(VLOOKUP(J13,Lists!$M$2:$N$6,2,FALSE),0)</f>
        <v/>
      </c>
      <c r="L13" s="29" t="inlineStr">
        <is>
          <t>No</t>
        </is>
      </c>
      <c r="M13" s="30">
        <f>IFERROR(VLOOKUP(L13,Lists!$G$2:$H$3,2,FALSE),0)</f>
        <v/>
      </c>
      <c r="N13" s="29" t="inlineStr">
        <is>
          <t>Yes</t>
        </is>
      </c>
      <c r="O13" s="30">
        <f>IFERROR(VLOOKUP(N13,Lists!$G$2:$H$3,2,FALSE),0)</f>
        <v/>
      </c>
      <c r="P13" s="31">
        <f>MIN(100,MAX(0,ROUND((C13*15+E13*15+G13*5+I13*20+K13*20+M13*5+O13*20)/100,0)))</f>
        <v/>
      </c>
      <c r="Q13" s="32">
        <f>IF(P13&lt;25,"Green — Normal Operations",IF(P13&lt;50,"Yellow — Elevated Caution",IF(P13&lt;75,"Amber — High Risk","Red — Severe Risk")))</f>
        <v/>
      </c>
      <c r="R13" s="31">
        <f>MIN(100,MAX(0,ROUND((C13*20+E13*15+G13*20+I13*10+K13*10+M13*5+O13*20)/100,0)))</f>
        <v/>
      </c>
      <c r="S13" s="32">
        <f>IF(R13&lt;25,"Green — Normal Operations",IF(R13&lt;50,"Yellow — Elevated Caution",IF(R13&lt;75,"Amber — High Risk","Red — Severe Risk")))</f>
        <v/>
      </c>
      <c r="T13" s="31">
        <f>MIN(100,MAX(0,ROUND((C13*20+E13*15+G13*5+I13*5+K13*15+M13*20+O13*20)/100,0)))</f>
        <v/>
      </c>
      <c r="U13" s="32">
        <f>IF(T13&lt;25,"Green — Normal Operations",IF(T13&lt;50,"Yellow — Elevated Caution",IF(T13&lt;75,"Amber — High Risk","Red — Severe Risk")))</f>
        <v/>
      </c>
      <c r="V13" s="33" t="n"/>
      <c r="W13" s="34">
        <f>IF(V13="","",IF(V13=LEFT(Q13,FIND(" ",Q13)-1),"Match","Differs"))</f>
        <v/>
      </c>
      <c r="X13" s="33" t="n"/>
      <c r="Y13" s="34">
        <f>IF(X13="","",IF(X13=LEFT(S13,FIND(" ",S13)-1),"Match","Differs"))</f>
        <v/>
      </c>
      <c r="Z13" s="33" t="n"/>
      <c r="AA13" s="34">
        <f>IF(Z13="","",IF(Z13=LEFT(U13,FIND(" ",U13)-1),"Match","Differs"))</f>
        <v/>
      </c>
      <c r="AB13" s="35" t="n"/>
    </row>
    <row r="14">
      <c r="A14" s="28" t="inlineStr">
        <is>
          <t>Major flash flood + damaging wind</t>
        </is>
      </c>
      <c r="B14" s="29" t="inlineStr">
        <is>
          <t>&gt;1.5"</t>
        </is>
      </c>
      <c r="C14" s="30">
        <f>IFERROR(VLOOKUP(B14,Lists!$A$2:$B$5,2,FALSE),0)</f>
        <v/>
      </c>
      <c r="D14" s="29" t="inlineStr">
        <is>
          <t>≥1" diameter</t>
        </is>
      </c>
      <c r="E14" s="30">
        <f>IFERROR(VLOOKUP(D14,Lists!$D$2:$E$4,2,FALSE),0)</f>
        <v/>
      </c>
      <c r="F14" s="29" t="inlineStr">
        <is>
          <t>Yes</t>
        </is>
      </c>
      <c r="G14" s="30">
        <f>IFERROR(VLOOKUP(F14,Lists!$G$2:$H$3,2,FALSE),0)</f>
        <v/>
      </c>
      <c r="H14" s="29" t="inlineStr">
        <is>
          <t>40–50 mph</t>
        </is>
      </c>
      <c r="I14" s="30">
        <f>IFERROR(VLOOKUP(H14,Lists!$J$2:$K$6,2,FALSE),0)</f>
        <v/>
      </c>
      <c r="J14" s="29" t="inlineStr">
        <is>
          <t>50–60 mph</t>
        </is>
      </c>
      <c r="K14" s="30">
        <f>IFERROR(VLOOKUP(J14,Lists!$M$2:$N$6,2,FALSE),0)</f>
        <v/>
      </c>
      <c r="L14" s="29" t="inlineStr">
        <is>
          <t>Yes</t>
        </is>
      </c>
      <c r="M14" s="30">
        <f>IFERROR(VLOOKUP(L14,Lists!$G$2:$H$3,2,FALSE),0)</f>
        <v/>
      </c>
      <c r="N14" s="29" t="inlineStr">
        <is>
          <t>No</t>
        </is>
      </c>
      <c r="O14" s="30">
        <f>IFERROR(VLOOKUP(N14,Lists!$G$2:$H$3,2,FALSE),0)</f>
        <v/>
      </c>
      <c r="P14" s="31">
        <f>MIN(100,MAX(0,ROUND((C14*15+E14*15+G14*5+I14*20+K14*20+M14*5+O14*20)/100,0)))</f>
        <v/>
      </c>
      <c r="Q14" s="32">
        <f>IF(P14&lt;25,"Green — Normal Operations",IF(P14&lt;50,"Yellow — Elevated Caution",IF(P14&lt;75,"Amber — High Risk","Red — Severe Risk")))</f>
        <v/>
      </c>
      <c r="R14" s="31">
        <f>MIN(100,MAX(0,ROUND((C14*20+E14*15+G14*20+I14*10+K14*10+M14*5+O14*20)/100,0)))</f>
        <v/>
      </c>
      <c r="S14" s="32">
        <f>IF(R14&lt;25,"Green — Normal Operations",IF(R14&lt;50,"Yellow — Elevated Caution",IF(R14&lt;75,"Amber — High Risk","Red — Severe Risk")))</f>
        <v/>
      </c>
      <c r="T14" s="31">
        <f>MIN(100,MAX(0,ROUND((C14*20+E14*15+G14*5+I14*5+K14*15+M14*20+O14*20)/100,0)))</f>
        <v/>
      </c>
      <c r="U14" s="32">
        <f>IF(T14&lt;25,"Green — Normal Operations",IF(T14&lt;50,"Yellow — Elevated Caution",IF(T14&lt;75,"Amber — High Risk","Red — Severe Risk")))</f>
        <v/>
      </c>
      <c r="V14" s="33" t="n"/>
      <c r="W14" s="34">
        <f>IF(V14="","",IF(V14=LEFT(Q14,FIND(" ",Q14)-1),"Match","Differs"))</f>
        <v/>
      </c>
      <c r="X14" s="33" t="n"/>
      <c r="Y14" s="34">
        <f>IF(X14="","",IF(X14=LEFT(S14,FIND(" ",S14)-1),"Match","Differs"))</f>
        <v/>
      </c>
      <c r="Z14" s="33" t="n"/>
      <c r="AA14" s="34">
        <f>IF(Z14="","",IF(Z14=LEFT(U14,FIND(" ",U14)-1),"Match","Differs"))</f>
        <v/>
      </c>
      <c r="AB14" s="35" t="n"/>
    </row>
    <row r="15">
      <c r="A15" s="28" t="inlineStr">
        <is>
          <t>Worst case: everything maxed</t>
        </is>
      </c>
      <c r="B15" s="29" t="inlineStr">
        <is>
          <t>&gt;1.5"</t>
        </is>
      </c>
      <c r="C15" s="30">
        <f>IFERROR(VLOOKUP(B15,Lists!$A$2:$B$5,2,FALSE),0)</f>
        <v/>
      </c>
      <c r="D15" s="29" t="inlineStr">
        <is>
          <t>≥1" diameter</t>
        </is>
      </c>
      <c r="E15" s="30">
        <f>IFERROR(VLOOKUP(D15,Lists!$D$2:$E$4,2,FALSE),0)</f>
        <v/>
      </c>
      <c r="F15" s="29" t="inlineStr">
        <is>
          <t>Yes</t>
        </is>
      </c>
      <c r="G15" s="30">
        <f>IFERROR(VLOOKUP(F15,Lists!$G$2:$H$3,2,FALSE),0)</f>
        <v/>
      </c>
      <c r="H15" s="29" t="inlineStr">
        <is>
          <t>&gt;50 mph</t>
        </is>
      </c>
      <c r="I15" s="30">
        <f>IFERROR(VLOOKUP(H15,Lists!$J$2:$K$6,2,FALSE),0)</f>
        <v/>
      </c>
      <c r="J15" s="29" t="inlineStr">
        <is>
          <t>&gt;60 mph</t>
        </is>
      </c>
      <c r="K15" s="30">
        <f>IFERROR(VLOOKUP(J15,Lists!$M$2:$N$6,2,FALSE),0)</f>
        <v/>
      </c>
      <c r="L15" s="29" t="inlineStr">
        <is>
          <t>Yes</t>
        </is>
      </c>
      <c r="M15" s="30">
        <f>IFERROR(VLOOKUP(L15,Lists!$G$2:$H$3,2,FALSE),0)</f>
        <v/>
      </c>
      <c r="N15" s="29" t="inlineStr">
        <is>
          <t>Yes</t>
        </is>
      </c>
      <c r="O15" s="30">
        <f>IFERROR(VLOOKUP(N15,Lists!$G$2:$H$3,2,FALSE),0)</f>
        <v/>
      </c>
      <c r="P15" s="31">
        <f>MIN(100,MAX(0,ROUND((C15*15+E15*15+G15*5+I15*20+K15*20+M15*5+O15*20)/100,0)))</f>
        <v/>
      </c>
      <c r="Q15" s="32">
        <f>IF(P15&lt;25,"Green — Normal Operations",IF(P15&lt;50,"Yellow — Elevated Caution",IF(P15&lt;75,"Amber — High Risk","Red — Severe Risk")))</f>
        <v/>
      </c>
      <c r="R15" s="31">
        <f>MIN(100,MAX(0,ROUND((C15*20+E15*15+G15*20+I15*10+K15*10+M15*5+O15*20)/100,0)))</f>
        <v/>
      </c>
      <c r="S15" s="32">
        <f>IF(R15&lt;25,"Green — Normal Operations",IF(R15&lt;50,"Yellow — Elevated Caution",IF(R15&lt;75,"Amber — High Risk","Red — Severe Risk")))</f>
        <v/>
      </c>
      <c r="T15" s="31">
        <f>MIN(100,MAX(0,ROUND((C15*20+E15*15+G15*5+I15*5+K15*15+M15*20+O15*20)/100,0)))</f>
        <v/>
      </c>
      <c r="U15" s="32">
        <f>IF(T15&lt;25,"Green — Normal Operations",IF(T15&lt;50,"Yellow — Elevated Caution",IF(T15&lt;75,"Amber — High Risk","Red — Severe Risk")))</f>
        <v/>
      </c>
      <c r="V15" s="33" t="n"/>
      <c r="W15" s="34">
        <f>IF(V15="","",IF(V15=LEFT(Q15,FIND(" ",Q15)-1),"Match","Differs"))</f>
        <v/>
      </c>
      <c r="X15" s="33" t="n"/>
      <c r="Y15" s="34">
        <f>IF(X15="","",IF(X15=LEFT(S15,FIND(" ",S15)-1),"Match","Differs"))</f>
        <v/>
      </c>
      <c r="Z15" s="33" t="n"/>
      <c r="AA15" s="34">
        <f>IF(Z15="","",IF(Z15=LEFT(U15,FIND(" ",U15)-1),"Match","Differs"))</f>
        <v/>
      </c>
      <c r="AB15" s="35" t="n"/>
    </row>
  </sheetData>
  <mergeCells count="2">
    <mergeCell ref="A2:AB2"/>
    <mergeCell ref="A1:AB1"/>
  </mergeCells>
  <conditionalFormatting sqref="Q6">
    <cfRule type="expression" priority="1" dxfId="12">
      <formula>ISNUMBER(SEARCH("Green",Q6))</formula>
    </cfRule>
    <cfRule type="expression" priority="2" dxfId="13">
      <formula>ISNUMBER(SEARCH("Yellow",Q6))</formula>
    </cfRule>
    <cfRule type="expression" priority="3" dxfId="14">
      <formula>ISNUMBER(SEARCH("Amber",Q6))</formula>
    </cfRule>
    <cfRule type="expression" priority="4" dxfId="15">
      <formula>ISNUMBER(SEARCH("Red",Q6))</formula>
    </cfRule>
  </conditionalFormatting>
  <conditionalFormatting sqref="S6">
    <cfRule type="expression" priority="5" dxfId="12">
      <formula>ISNUMBER(SEARCH("Green",S6))</formula>
    </cfRule>
    <cfRule type="expression" priority="6" dxfId="13">
      <formula>ISNUMBER(SEARCH("Yellow",S6))</formula>
    </cfRule>
    <cfRule type="expression" priority="7" dxfId="14">
      <formula>ISNUMBER(SEARCH("Amber",S6))</formula>
    </cfRule>
    <cfRule type="expression" priority="8" dxfId="15">
      <formula>ISNUMBER(SEARCH("Red",S6))</formula>
    </cfRule>
  </conditionalFormatting>
  <conditionalFormatting sqref="U6">
    <cfRule type="expression" priority="9" dxfId="12">
      <formula>ISNUMBER(SEARCH("Green",U6))</formula>
    </cfRule>
    <cfRule type="expression" priority="10" dxfId="13">
      <formula>ISNUMBER(SEARCH("Yellow",U6))</formula>
    </cfRule>
    <cfRule type="expression" priority="11" dxfId="14">
      <formula>ISNUMBER(SEARCH("Amber",U6))</formula>
    </cfRule>
    <cfRule type="expression" priority="12" dxfId="15">
      <formula>ISNUMBER(SEARCH("Red",U6))</formula>
    </cfRule>
  </conditionalFormatting>
  <conditionalFormatting sqref="W6">
    <cfRule type="expression" priority="13" dxfId="12">
      <formula>W6="Match"</formula>
    </cfRule>
    <cfRule type="expression" priority="14" dxfId="15">
      <formula>W6="Differs"</formula>
    </cfRule>
  </conditionalFormatting>
  <conditionalFormatting sqref="Y6">
    <cfRule type="expression" priority="15" dxfId="12">
      <formula>Y6="Match"</formula>
    </cfRule>
    <cfRule type="expression" priority="16" dxfId="15">
      <formula>Y6="Differs"</formula>
    </cfRule>
  </conditionalFormatting>
  <conditionalFormatting sqref="AA6">
    <cfRule type="expression" priority="17" dxfId="12">
      <formula>AA6="Match"</formula>
    </cfRule>
    <cfRule type="expression" priority="18" dxfId="15">
      <formula>AA6="Differs"</formula>
    </cfRule>
  </conditionalFormatting>
  <conditionalFormatting sqref="Q7">
    <cfRule type="expression" priority="19" dxfId="12">
      <formula>ISNUMBER(SEARCH("Green",Q7))</formula>
    </cfRule>
    <cfRule type="expression" priority="20" dxfId="13">
      <formula>ISNUMBER(SEARCH("Yellow",Q7))</formula>
    </cfRule>
    <cfRule type="expression" priority="21" dxfId="14">
      <formula>ISNUMBER(SEARCH("Amber",Q7))</formula>
    </cfRule>
    <cfRule type="expression" priority="22" dxfId="15">
      <formula>ISNUMBER(SEARCH("Red",Q7))</formula>
    </cfRule>
  </conditionalFormatting>
  <conditionalFormatting sqref="S7">
    <cfRule type="expression" priority="23" dxfId="12">
      <formula>ISNUMBER(SEARCH("Green",S7))</formula>
    </cfRule>
    <cfRule type="expression" priority="24" dxfId="13">
      <formula>ISNUMBER(SEARCH("Yellow",S7))</formula>
    </cfRule>
    <cfRule type="expression" priority="25" dxfId="14">
      <formula>ISNUMBER(SEARCH("Amber",S7))</formula>
    </cfRule>
    <cfRule type="expression" priority="26" dxfId="15">
      <formula>ISNUMBER(SEARCH("Red",S7))</formula>
    </cfRule>
  </conditionalFormatting>
  <conditionalFormatting sqref="U7">
    <cfRule type="expression" priority="27" dxfId="12">
      <formula>ISNUMBER(SEARCH("Green",U7))</formula>
    </cfRule>
    <cfRule type="expression" priority="28" dxfId="13">
      <formula>ISNUMBER(SEARCH("Yellow",U7))</formula>
    </cfRule>
    <cfRule type="expression" priority="29" dxfId="14">
      <formula>ISNUMBER(SEARCH("Amber",U7))</formula>
    </cfRule>
    <cfRule type="expression" priority="30" dxfId="15">
      <formula>ISNUMBER(SEARCH("Red",U7))</formula>
    </cfRule>
  </conditionalFormatting>
  <conditionalFormatting sqref="W7">
    <cfRule type="expression" priority="31" dxfId="12">
      <formula>W7="Match"</formula>
    </cfRule>
    <cfRule type="expression" priority="32" dxfId="15">
      <formula>W7="Differs"</formula>
    </cfRule>
  </conditionalFormatting>
  <conditionalFormatting sqref="Y7">
    <cfRule type="expression" priority="33" dxfId="12">
      <formula>Y7="Match"</formula>
    </cfRule>
    <cfRule type="expression" priority="34" dxfId="15">
      <formula>Y7="Differs"</formula>
    </cfRule>
  </conditionalFormatting>
  <conditionalFormatting sqref="AA7">
    <cfRule type="expression" priority="35" dxfId="12">
      <formula>AA7="Match"</formula>
    </cfRule>
    <cfRule type="expression" priority="36" dxfId="15">
      <formula>AA7="Differs"</formula>
    </cfRule>
  </conditionalFormatting>
  <conditionalFormatting sqref="Q8">
    <cfRule type="expression" priority="37" dxfId="12">
      <formula>ISNUMBER(SEARCH("Green",Q8))</formula>
    </cfRule>
    <cfRule type="expression" priority="38" dxfId="13">
      <formula>ISNUMBER(SEARCH("Yellow",Q8))</formula>
    </cfRule>
    <cfRule type="expression" priority="39" dxfId="14">
      <formula>ISNUMBER(SEARCH("Amber",Q8))</formula>
    </cfRule>
    <cfRule type="expression" priority="40" dxfId="15">
      <formula>ISNUMBER(SEARCH("Red",Q8))</formula>
    </cfRule>
  </conditionalFormatting>
  <conditionalFormatting sqref="S8">
    <cfRule type="expression" priority="41" dxfId="12">
      <formula>ISNUMBER(SEARCH("Green",S8))</formula>
    </cfRule>
    <cfRule type="expression" priority="42" dxfId="13">
      <formula>ISNUMBER(SEARCH("Yellow",S8))</formula>
    </cfRule>
    <cfRule type="expression" priority="43" dxfId="14">
      <formula>ISNUMBER(SEARCH("Amber",S8))</formula>
    </cfRule>
    <cfRule type="expression" priority="44" dxfId="15">
      <formula>ISNUMBER(SEARCH("Red",S8))</formula>
    </cfRule>
  </conditionalFormatting>
  <conditionalFormatting sqref="U8">
    <cfRule type="expression" priority="45" dxfId="12">
      <formula>ISNUMBER(SEARCH("Green",U8))</formula>
    </cfRule>
    <cfRule type="expression" priority="46" dxfId="13">
      <formula>ISNUMBER(SEARCH("Yellow",U8))</formula>
    </cfRule>
    <cfRule type="expression" priority="47" dxfId="14">
      <formula>ISNUMBER(SEARCH("Amber",U8))</formula>
    </cfRule>
    <cfRule type="expression" priority="48" dxfId="15">
      <formula>ISNUMBER(SEARCH("Red",U8))</formula>
    </cfRule>
  </conditionalFormatting>
  <conditionalFormatting sqref="W8">
    <cfRule type="expression" priority="49" dxfId="12">
      <formula>W8="Match"</formula>
    </cfRule>
    <cfRule type="expression" priority="50" dxfId="15">
      <formula>W8="Differs"</formula>
    </cfRule>
  </conditionalFormatting>
  <conditionalFormatting sqref="Y8">
    <cfRule type="expression" priority="51" dxfId="12">
      <formula>Y8="Match"</formula>
    </cfRule>
    <cfRule type="expression" priority="52" dxfId="15">
      <formula>Y8="Differs"</formula>
    </cfRule>
  </conditionalFormatting>
  <conditionalFormatting sqref="AA8">
    <cfRule type="expression" priority="53" dxfId="12">
      <formula>AA8="Match"</formula>
    </cfRule>
    <cfRule type="expression" priority="54" dxfId="15">
      <formula>AA8="Differs"</formula>
    </cfRule>
  </conditionalFormatting>
  <conditionalFormatting sqref="Q9">
    <cfRule type="expression" priority="55" dxfId="12">
      <formula>ISNUMBER(SEARCH("Green",Q9))</formula>
    </cfRule>
    <cfRule type="expression" priority="56" dxfId="13">
      <formula>ISNUMBER(SEARCH("Yellow",Q9))</formula>
    </cfRule>
    <cfRule type="expression" priority="57" dxfId="14">
      <formula>ISNUMBER(SEARCH("Amber",Q9))</formula>
    </cfRule>
    <cfRule type="expression" priority="58" dxfId="15">
      <formula>ISNUMBER(SEARCH("Red",Q9))</formula>
    </cfRule>
  </conditionalFormatting>
  <conditionalFormatting sqref="S9">
    <cfRule type="expression" priority="59" dxfId="12">
      <formula>ISNUMBER(SEARCH("Green",S9))</formula>
    </cfRule>
    <cfRule type="expression" priority="60" dxfId="13">
      <formula>ISNUMBER(SEARCH("Yellow",S9))</formula>
    </cfRule>
    <cfRule type="expression" priority="61" dxfId="14">
      <formula>ISNUMBER(SEARCH("Amber",S9))</formula>
    </cfRule>
    <cfRule type="expression" priority="62" dxfId="15">
      <formula>ISNUMBER(SEARCH("Red",S9))</formula>
    </cfRule>
  </conditionalFormatting>
  <conditionalFormatting sqref="U9">
    <cfRule type="expression" priority="63" dxfId="12">
      <formula>ISNUMBER(SEARCH("Green",U9))</formula>
    </cfRule>
    <cfRule type="expression" priority="64" dxfId="13">
      <formula>ISNUMBER(SEARCH("Yellow",U9))</formula>
    </cfRule>
    <cfRule type="expression" priority="65" dxfId="14">
      <formula>ISNUMBER(SEARCH("Amber",U9))</formula>
    </cfRule>
    <cfRule type="expression" priority="66" dxfId="15">
      <formula>ISNUMBER(SEARCH("Red",U9))</formula>
    </cfRule>
  </conditionalFormatting>
  <conditionalFormatting sqref="W9">
    <cfRule type="expression" priority="67" dxfId="12">
      <formula>W9="Match"</formula>
    </cfRule>
    <cfRule type="expression" priority="68" dxfId="15">
      <formula>W9="Differs"</formula>
    </cfRule>
  </conditionalFormatting>
  <conditionalFormatting sqref="Y9">
    <cfRule type="expression" priority="69" dxfId="12">
      <formula>Y9="Match"</formula>
    </cfRule>
    <cfRule type="expression" priority="70" dxfId="15">
      <formula>Y9="Differs"</formula>
    </cfRule>
  </conditionalFormatting>
  <conditionalFormatting sqref="AA9">
    <cfRule type="expression" priority="71" dxfId="12">
      <formula>AA9="Match"</formula>
    </cfRule>
    <cfRule type="expression" priority="72" dxfId="15">
      <formula>AA9="Differs"</formula>
    </cfRule>
  </conditionalFormatting>
  <conditionalFormatting sqref="Q10">
    <cfRule type="expression" priority="73" dxfId="12">
      <formula>ISNUMBER(SEARCH("Green",Q10))</formula>
    </cfRule>
    <cfRule type="expression" priority="74" dxfId="13">
      <formula>ISNUMBER(SEARCH("Yellow",Q10))</formula>
    </cfRule>
    <cfRule type="expression" priority="75" dxfId="14">
      <formula>ISNUMBER(SEARCH("Amber",Q10))</formula>
    </cfRule>
    <cfRule type="expression" priority="76" dxfId="15">
      <formula>ISNUMBER(SEARCH("Red",Q10))</formula>
    </cfRule>
  </conditionalFormatting>
  <conditionalFormatting sqref="S10">
    <cfRule type="expression" priority="77" dxfId="12">
      <formula>ISNUMBER(SEARCH("Green",S10))</formula>
    </cfRule>
    <cfRule type="expression" priority="78" dxfId="13">
      <formula>ISNUMBER(SEARCH("Yellow",S10))</formula>
    </cfRule>
    <cfRule type="expression" priority="79" dxfId="14">
      <formula>ISNUMBER(SEARCH("Amber",S10))</formula>
    </cfRule>
    <cfRule type="expression" priority="80" dxfId="15">
      <formula>ISNUMBER(SEARCH("Red",S10))</formula>
    </cfRule>
  </conditionalFormatting>
  <conditionalFormatting sqref="U10">
    <cfRule type="expression" priority="81" dxfId="12">
      <formula>ISNUMBER(SEARCH("Green",U10))</formula>
    </cfRule>
    <cfRule type="expression" priority="82" dxfId="13">
      <formula>ISNUMBER(SEARCH("Yellow",U10))</formula>
    </cfRule>
    <cfRule type="expression" priority="83" dxfId="14">
      <formula>ISNUMBER(SEARCH("Amber",U10))</formula>
    </cfRule>
    <cfRule type="expression" priority="84" dxfId="15">
      <formula>ISNUMBER(SEARCH("Red",U10))</formula>
    </cfRule>
  </conditionalFormatting>
  <conditionalFormatting sqref="W10">
    <cfRule type="expression" priority="85" dxfId="12">
      <formula>W10="Match"</formula>
    </cfRule>
    <cfRule type="expression" priority="86" dxfId="15">
      <formula>W10="Differs"</formula>
    </cfRule>
  </conditionalFormatting>
  <conditionalFormatting sqref="Y10">
    <cfRule type="expression" priority="87" dxfId="12">
      <formula>Y10="Match"</formula>
    </cfRule>
    <cfRule type="expression" priority="88" dxfId="15">
      <formula>Y10="Differs"</formula>
    </cfRule>
  </conditionalFormatting>
  <conditionalFormatting sqref="AA10">
    <cfRule type="expression" priority="89" dxfId="12">
      <formula>AA10="Match"</formula>
    </cfRule>
    <cfRule type="expression" priority="90" dxfId="15">
      <formula>AA10="Differs"</formula>
    </cfRule>
  </conditionalFormatting>
  <conditionalFormatting sqref="Q11">
    <cfRule type="expression" priority="91" dxfId="12">
      <formula>ISNUMBER(SEARCH("Green",Q11))</formula>
    </cfRule>
    <cfRule type="expression" priority="92" dxfId="13">
      <formula>ISNUMBER(SEARCH("Yellow",Q11))</formula>
    </cfRule>
    <cfRule type="expression" priority="93" dxfId="14">
      <formula>ISNUMBER(SEARCH("Amber",Q11))</formula>
    </cfRule>
    <cfRule type="expression" priority="94" dxfId="15">
      <formula>ISNUMBER(SEARCH("Red",Q11))</formula>
    </cfRule>
  </conditionalFormatting>
  <conditionalFormatting sqref="S11">
    <cfRule type="expression" priority="95" dxfId="12">
      <formula>ISNUMBER(SEARCH("Green",S11))</formula>
    </cfRule>
    <cfRule type="expression" priority="96" dxfId="13">
      <formula>ISNUMBER(SEARCH("Yellow",S11))</formula>
    </cfRule>
    <cfRule type="expression" priority="97" dxfId="14">
      <formula>ISNUMBER(SEARCH("Amber",S11))</formula>
    </cfRule>
    <cfRule type="expression" priority="98" dxfId="15">
      <formula>ISNUMBER(SEARCH("Red",S11))</formula>
    </cfRule>
  </conditionalFormatting>
  <conditionalFormatting sqref="U11">
    <cfRule type="expression" priority="99" dxfId="12">
      <formula>ISNUMBER(SEARCH("Green",U11))</formula>
    </cfRule>
    <cfRule type="expression" priority="100" dxfId="13">
      <formula>ISNUMBER(SEARCH("Yellow",U11))</formula>
    </cfRule>
    <cfRule type="expression" priority="101" dxfId="14">
      <formula>ISNUMBER(SEARCH("Amber",U11))</formula>
    </cfRule>
    <cfRule type="expression" priority="102" dxfId="15">
      <formula>ISNUMBER(SEARCH("Red",U11))</formula>
    </cfRule>
  </conditionalFormatting>
  <conditionalFormatting sqref="W11">
    <cfRule type="expression" priority="103" dxfId="12">
      <formula>W11="Match"</formula>
    </cfRule>
    <cfRule type="expression" priority="104" dxfId="15">
      <formula>W11="Differs"</formula>
    </cfRule>
  </conditionalFormatting>
  <conditionalFormatting sqref="Y11">
    <cfRule type="expression" priority="105" dxfId="12">
      <formula>Y11="Match"</formula>
    </cfRule>
    <cfRule type="expression" priority="106" dxfId="15">
      <formula>Y11="Differs"</formula>
    </cfRule>
  </conditionalFormatting>
  <conditionalFormatting sqref="AA11">
    <cfRule type="expression" priority="107" dxfId="12">
      <formula>AA11="Match"</formula>
    </cfRule>
    <cfRule type="expression" priority="108" dxfId="15">
      <formula>AA11="Differs"</formula>
    </cfRule>
  </conditionalFormatting>
  <conditionalFormatting sqref="Q12">
    <cfRule type="expression" priority="109" dxfId="12">
      <formula>ISNUMBER(SEARCH("Green",Q12))</formula>
    </cfRule>
    <cfRule type="expression" priority="110" dxfId="13">
      <formula>ISNUMBER(SEARCH("Yellow",Q12))</formula>
    </cfRule>
    <cfRule type="expression" priority="111" dxfId="14">
      <formula>ISNUMBER(SEARCH("Amber",Q12))</formula>
    </cfRule>
    <cfRule type="expression" priority="112" dxfId="15">
      <formula>ISNUMBER(SEARCH("Red",Q12))</formula>
    </cfRule>
  </conditionalFormatting>
  <conditionalFormatting sqref="S12">
    <cfRule type="expression" priority="113" dxfId="12">
      <formula>ISNUMBER(SEARCH("Green",S12))</formula>
    </cfRule>
    <cfRule type="expression" priority="114" dxfId="13">
      <formula>ISNUMBER(SEARCH("Yellow",S12))</formula>
    </cfRule>
    <cfRule type="expression" priority="115" dxfId="14">
      <formula>ISNUMBER(SEARCH("Amber",S12))</formula>
    </cfRule>
    <cfRule type="expression" priority="116" dxfId="15">
      <formula>ISNUMBER(SEARCH("Red",S12))</formula>
    </cfRule>
  </conditionalFormatting>
  <conditionalFormatting sqref="U12">
    <cfRule type="expression" priority="117" dxfId="12">
      <formula>ISNUMBER(SEARCH("Green",U12))</formula>
    </cfRule>
    <cfRule type="expression" priority="118" dxfId="13">
      <formula>ISNUMBER(SEARCH("Yellow",U12))</formula>
    </cfRule>
    <cfRule type="expression" priority="119" dxfId="14">
      <formula>ISNUMBER(SEARCH("Amber",U12))</formula>
    </cfRule>
    <cfRule type="expression" priority="120" dxfId="15">
      <formula>ISNUMBER(SEARCH("Red",U12))</formula>
    </cfRule>
  </conditionalFormatting>
  <conditionalFormatting sqref="W12">
    <cfRule type="expression" priority="121" dxfId="12">
      <formula>W12="Match"</formula>
    </cfRule>
    <cfRule type="expression" priority="122" dxfId="15">
      <formula>W12="Differs"</formula>
    </cfRule>
  </conditionalFormatting>
  <conditionalFormatting sqref="Y12">
    <cfRule type="expression" priority="123" dxfId="12">
      <formula>Y12="Match"</formula>
    </cfRule>
    <cfRule type="expression" priority="124" dxfId="15">
      <formula>Y12="Differs"</formula>
    </cfRule>
  </conditionalFormatting>
  <conditionalFormatting sqref="AA12">
    <cfRule type="expression" priority="125" dxfId="12">
      <formula>AA12="Match"</formula>
    </cfRule>
    <cfRule type="expression" priority="126" dxfId="15">
      <formula>AA12="Differs"</formula>
    </cfRule>
  </conditionalFormatting>
  <conditionalFormatting sqref="Q13">
    <cfRule type="expression" priority="127" dxfId="12">
      <formula>ISNUMBER(SEARCH("Green",Q13))</formula>
    </cfRule>
    <cfRule type="expression" priority="128" dxfId="13">
      <formula>ISNUMBER(SEARCH("Yellow",Q13))</formula>
    </cfRule>
    <cfRule type="expression" priority="129" dxfId="14">
      <formula>ISNUMBER(SEARCH("Amber",Q13))</formula>
    </cfRule>
    <cfRule type="expression" priority="130" dxfId="15">
      <formula>ISNUMBER(SEARCH("Red",Q13))</formula>
    </cfRule>
  </conditionalFormatting>
  <conditionalFormatting sqref="S13">
    <cfRule type="expression" priority="131" dxfId="12">
      <formula>ISNUMBER(SEARCH("Green",S13))</formula>
    </cfRule>
    <cfRule type="expression" priority="132" dxfId="13">
      <formula>ISNUMBER(SEARCH("Yellow",S13))</formula>
    </cfRule>
    <cfRule type="expression" priority="133" dxfId="14">
      <formula>ISNUMBER(SEARCH("Amber",S13))</formula>
    </cfRule>
    <cfRule type="expression" priority="134" dxfId="15">
      <formula>ISNUMBER(SEARCH("Red",S13))</formula>
    </cfRule>
  </conditionalFormatting>
  <conditionalFormatting sqref="U13">
    <cfRule type="expression" priority="135" dxfId="12">
      <formula>ISNUMBER(SEARCH("Green",U13))</formula>
    </cfRule>
    <cfRule type="expression" priority="136" dxfId="13">
      <formula>ISNUMBER(SEARCH("Yellow",U13))</formula>
    </cfRule>
    <cfRule type="expression" priority="137" dxfId="14">
      <formula>ISNUMBER(SEARCH("Amber",U13))</formula>
    </cfRule>
    <cfRule type="expression" priority="138" dxfId="15">
      <formula>ISNUMBER(SEARCH("Red",U13))</formula>
    </cfRule>
  </conditionalFormatting>
  <conditionalFormatting sqref="W13">
    <cfRule type="expression" priority="139" dxfId="12">
      <formula>W13="Match"</formula>
    </cfRule>
    <cfRule type="expression" priority="140" dxfId="15">
      <formula>W13="Differs"</formula>
    </cfRule>
  </conditionalFormatting>
  <conditionalFormatting sqref="Y13">
    <cfRule type="expression" priority="141" dxfId="12">
      <formula>Y13="Match"</formula>
    </cfRule>
    <cfRule type="expression" priority="142" dxfId="15">
      <formula>Y13="Differs"</formula>
    </cfRule>
  </conditionalFormatting>
  <conditionalFormatting sqref="AA13">
    <cfRule type="expression" priority="143" dxfId="12">
      <formula>AA13="Match"</formula>
    </cfRule>
    <cfRule type="expression" priority="144" dxfId="15">
      <formula>AA13="Differs"</formula>
    </cfRule>
  </conditionalFormatting>
  <conditionalFormatting sqref="Q14">
    <cfRule type="expression" priority="145" dxfId="12">
      <formula>ISNUMBER(SEARCH("Green",Q14))</formula>
    </cfRule>
    <cfRule type="expression" priority="146" dxfId="13">
      <formula>ISNUMBER(SEARCH("Yellow",Q14))</formula>
    </cfRule>
    <cfRule type="expression" priority="147" dxfId="14">
      <formula>ISNUMBER(SEARCH("Amber",Q14))</formula>
    </cfRule>
    <cfRule type="expression" priority="148" dxfId="15">
      <formula>ISNUMBER(SEARCH("Red",Q14))</formula>
    </cfRule>
  </conditionalFormatting>
  <conditionalFormatting sqref="S14">
    <cfRule type="expression" priority="149" dxfId="12">
      <formula>ISNUMBER(SEARCH("Green",S14))</formula>
    </cfRule>
    <cfRule type="expression" priority="150" dxfId="13">
      <formula>ISNUMBER(SEARCH("Yellow",S14))</formula>
    </cfRule>
    <cfRule type="expression" priority="151" dxfId="14">
      <formula>ISNUMBER(SEARCH("Amber",S14))</formula>
    </cfRule>
    <cfRule type="expression" priority="152" dxfId="15">
      <formula>ISNUMBER(SEARCH("Red",S14))</formula>
    </cfRule>
  </conditionalFormatting>
  <conditionalFormatting sqref="U14">
    <cfRule type="expression" priority="153" dxfId="12">
      <formula>ISNUMBER(SEARCH("Green",U14))</formula>
    </cfRule>
    <cfRule type="expression" priority="154" dxfId="13">
      <formula>ISNUMBER(SEARCH("Yellow",U14))</formula>
    </cfRule>
    <cfRule type="expression" priority="155" dxfId="14">
      <formula>ISNUMBER(SEARCH("Amber",U14))</formula>
    </cfRule>
    <cfRule type="expression" priority="156" dxfId="15">
      <formula>ISNUMBER(SEARCH("Red",U14))</formula>
    </cfRule>
  </conditionalFormatting>
  <conditionalFormatting sqref="W14">
    <cfRule type="expression" priority="157" dxfId="12">
      <formula>W14="Match"</formula>
    </cfRule>
    <cfRule type="expression" priority="158" dxfId="15">
      <formula>W14="Differs"</formula>
    </cfRule>
  </conditionalFormatting>
  <conditionalFormatting sqref="Y14">
    <cfRule type="expression" priority="159" dxfId="12">
      <formula>Y14="Match"</formula>
    </cfRule>
    <cfRule type="expression" priority="160" dxfId="15">
      <formula>Y14="Differs"</formula>
    </cfRule>
  </conditionalFormatting>
  <conditionalFormatting sqref="AA14">
    <cfRule type="expression" priority="161" dxfId="12">
      <formula>AA14="Match"</formula>
    </cfRule>
    <cfRule type="expression" priority="162" dxfId="15">
      <formula>AA14="Differs"</formula>
    </cfRule>
  </conditionalFormatting>
  <conditionalFormatting sqref="Q15">
    <cfRule type="expression" priority="163" dxfId="12">
      <formula>ISNUMBER(SEARCH("Green",Q15))</formula>
    </cfRule>
    <cfRule type="expression" priority="164" dxfId="13">
      <formula>ISNUMBER(SEARCH("Yellow",Q15))</formula>
    </cfRule>
    <cfRule type="expression" priority="165" dxfId="14">
      <formula>ISNUMBER(SEARCH("Amber",Q15))</formula>
    </cfRule>
    <cfRule type="expression" priority="166" dxfId="15">
      <formula>ISNUMBER(SEARCH("Red",Q15))</formula>
    </cfRule>
  </conditionalFormatting>
  <conditionalFormatting sqref="S15">
    <cfRule type="expression" priority="167" dxfId="12">
      <formula>ISNUMBER(SEARCH("Green",S15))</formula>
    </cfRule>
    <cfRule type="expression" priority="168" dxfId="13">
      <formula>ISNUMBER(SEARCH("Yellow",S15))</formula>
    </cfRule>
    <cfRule type="expression" priority="169" dxfId="14">
      <formula>ISNUMBER(SEARCH("Amber",S15))</formula>
    </cfRule>
    <cfRule type="expression" priority="170" dxfId="15">
      <formula>ISNUMBER(SEARCH("Red",S15))</formula>
    </cfRule>
  </conditionalFormatting>
  <conditionalFormatting sqref="U15">
    <cfRule type="expression" priority="171" dxfId="12">
      <formula>ISNUMBER(SEARCH("Green",U15))</formula>
    </cfRule>
    <cfRule type="expression" priority="172" dxfId="13">
      <formula>ISNUMBER(SEARCH("Yellow",U15))</formula>
    </cfRule>
    <cfRule type="expression" priority="173" dxfId="14">
      <formula>ISNUMBER(SEARCH("Amber",U15))</formula>
    </cfRule>
    <cfRule type="expression" priority="174" dxfId="15">
      <formula>ISNUMBER(SEARCH("Red",U15))</formula>
    </cfRule>
  </conditionalFormatting>
  <conditionalFormatting sqref="W15">
    <cfRule type="expression" priority="175" dxfId="12">
      <formula>W15="Match"</formula>
    </cfRule>
    <cfRule type="expression" priority="176" dxfId="15">
      <formula>W15="Differs"</formula>
    </cfRule>
  </conditionalFormatting>
  <conditionalFormatting sqref="Y15">
    <cfRule type="expression" priority="177" dxfId="12">
      <formula>Y15="Match"</formula>
    </cfRule>
    <cfRule type="expression" priority="178" dxfId="15">
      <formula>Y15="Differs"</formula>
    </cfRule>
  </conditionalFormatting>
  <conditionalFormatting sqref="AA15">
    <cfRule type="expression" priority="179" dxfId="12">
      <formula>AA15="Match"</formula>
    </cfRule>
    <cfRule type="expression" priority="180" dxfId="15">
      <formula>AA15="Differs"</formula>
    </cfRule>
  </conditionalFormatting>
  <dataValidations count="100">
    <dataValidation sqref="B6" showDropDown="0" showInputMessage="0" showErrorMessage="0" allowBlank="1" type="list">
      <formula1>Lists!$A$2:$A$5</formula1>
    </dataValidation>
    <dataValidation sqref="D6" showDropDown="0" showInputMessage="0" showErrorMessage="0" allowBlank="1" type="list">
      <formula1>Lists!$D$2:$D$4</formula1>
    </dataValidation>
    <dataValidation sqref="F6" showDropDown="0" showInputMessage="0" showErrorMessage="0" allowBlank="1" type="list">
      <formula1>Lists!$G$2:$G$3</formula1>
    </dataValidation>
    <dataValidation sqref="H6" showDropDown="0" showInputMessage="0" showErrorMessage="0" allowBlank="1" type="list">
      <formula1>Lists!$J$2:$J$6</formula1>
    </dataValidation>
    <dataValidation sqref="J6" showDropDown="0" showInputMessage="0" showErrorMessage="0" allowBlank="1" type="list">
      <formula1>Lists!$M$2:$M$6</formula1>
    </dataValidation>
    <dataValidation sqref="L6" showDropDown="0" showInputMessage="0" showErrorMessage="0" allowBlank="1" type="list">
      <formula1>Lists!$G$2:$G$3</formula1>
    </dataValidation>
    <dataValidation sqref="N6" showDropDown="0" showInputMessage="0" showErrorMessage="0" allowBlank="1" type="list">
      <formula1>Lists!$G$2:$G$3</formula1>
    </dataValidation>
    <dataValidation sqref="V6" showDropDown="0" showInputMessage="0" showErrorMessage="0" allowBlank="1" type="list">
      <formula1>"Green,Yellow,Amber,Red"</formula1>
    </dataValidation>
    <dataValidation sqref="X6" showDropDown="0" showInputMessage="0" showErrorMessage="0" allowBlank="1" type="list">
      <formula1>"Green,Yellow,Amber,Red"</formula1>
    </dataValidation>
    <dataValidation sqref="Z6" showDropDown="0" showInputMessage="0" showErrorMessage="0" allowBlank="1" type="list">
      <formula1>"Green,Yellow,Amber,Red"</formula1>
    </dataValidation>
    <dataValidation sqref="B7" showDropDown="0" showInputMessage="0" showErrorMessage="0" allowBlank="1" type="list">
      <formula1>Lists!$A$2:$A$5</formula1>
    </dataValidation>
    <dataValidation sqref="D7" showDropDown="0" showInputMessage="0" showErrorMessage="0" allowBlank="1" type="list">
      <formula1>Lists!$D$2:$D$4</formula1>
    </dataValidation>
    <dataValidation sqref="F7" showDropDown="0" showInputMessage="0" showErrorMessage="0" allowBlank="1" type="list">
      <formula1>Lists!$G$2:$G$3</formula1>
    </dataValidation>
    <dataValidation sqref="H7" showDropDown="0" showInputMessage="0" showErrorMessage="0" allowBlank="1" type="list">
      <formula1>Lists!$J$2:$J$6</formula1>
    </dataValidation>
    <dataValidation sqref="J7" showDropDown="0" showInputMessage="0" showErrorMessage="0" allowBlank="1" type="list">
      <formula1>Lists!$M$2:$M$6</formula1>
    </dataValidation>
    <dataValidation sqref="L7" showDropDown="0" showInputMessage="0" showErrorMessage="0" allowBlank="1" type="list">
      <formula1>Lists!$G$2:$G$3</formula1>
    </dataValidation>
    <dataValidation sqref="N7" showDropDown="0" showInputMessage="0" showErrorMessage="0" allowBlank="1" type="list">
      <formula1>Lists!$G$2:$G$3</formula1>
    </dataValidation>
    <dataValidation sqref="V7" showDropDown="0" showInputMessage="0" showErrorMessage="0" allowBlank="1" type="list">
      <formula1>"Green,Yellow,Amber,Red"</formula1>
    </dataValidation>
    <dataValidation sqref="X7" showDropDown="0" showInputMessage="0" showErrorMessage="0" allowBlank="1" type="list">
      <formula1>"Green,Yellow,Amber,Red"</formula1>
    </dataValidation>
    <dataValidation sqref="Z7" showDropDown="0" showInputMessage="0" showErrorMessage="0" allowBlank="1" type="list">
      <formula1>"Green,Yellow,Amber,Red"</formula1>
    </dataValidation>
    <dataValidation sqref="B8" showDropDown="0" showInputMessage="0" showErrorMessage="0" allowBlank="1" type="list">
      <formula1>Lists!$A$2:$A$5</formula1>
    </dataValidation>
    <dataValidation sqref="D8" showDropDown="0" showInputMessage="0" showErrorMessage="0" allowBlank="1" type="list">
      <formula1>Lists!$D$2:$D$4</formula1>
    </dataValidation>
    <dataValidation sqref="F8" showDropDown="0" showInputMessage="0" showErrorMessage="0" allowBlank="1" type="list">
      <formula1>Lists!$G$2:$G$3</formula1>
    </dataValidation>
    <dataValidation sqref="H8" showDropDown="0" showInputMessage="0" showErrorMessage="0" allowBlank="1" type="list">
      <formula1>Lists!$J$2:$J$6</formula1>
    </dataValidation>
    <dataValidation sqref="J8" showDropDown="0" showInputMessage="0" showErrorMessage="0" allowBlank="1" type="list">
      <formula1>Lists!$M$2:$M$6</formula1>
    </dataValidation>
    <dataValidation sqref="L8" showDropDown="0" showInputMessage="0" showErrorMessage="0" allowBlank="1" type="list">
      <formula1>Lists!$G$2:$G$3</formula1>
    </dataValidation>
    <dataValidation sqref="N8" showDropDown="0" showInputMessage="0" showErrorMessage="0" allowBlank="1" type="list">
      <formula1>Lists!$G$2:$G$3</formula1>
    </dataValidation>
    <dataValidation sqref="V8" showDropDown="0" showInputMessage="0" showErrorMessage="0" allowBlank="1" type="list">
      <formula1>"Green,Yellow,Amber,Red"</formula1>
    </dataValidation>
    <dataValidation sqref="X8" showDropDown="0" showInputMessage="0" showErrorMessage="0" allowBlank="1" type="list">
      <formula1>"Green,Yellow,Amber,Red"</formula1>
    </dataValidation>
    <dataValidation sqref="Z8" showDropDown="0" showInputMessage="0" showErrorMessage="0" allowBlank="1" type="list">
      <formula1>"Green,Yellow,Amber,Red"</formula1>
    </dataValidation>
    <dataValidation sqref="B9" showDropDown="0" showInputMessage="0" showErrorMessage="0" allowBlank="1" type="list">
      <formula1>Lists!$A$2:$A$5</formula1>
    </dataValidation>
    <dataValidation sqref="D9" showDropDown="0" showInputMessage="0" showErrorMessage="0" allowBlank="1" type="list">
      <formula1>Lists!$D$2:$D$4</formula1>
    </dataValidation>
    <dataValidation sqref="F9" showDropDown="0" showInputMessage="0" showErrorMessage="0" allowBlank="1" type="list">
      <formula1>Lists!$G$2:$G$3</formula1>
    </dataValidation>
    <dataValidation sqref="H9" showDropDown="0" showInputMessage="0" showErrorMessage="0" allowBlank="1" type="list">
      <formula1>Lists!$J$2:$J$6</formula1>
    </dataValidation>
    <dataValidation sqref="J9" showDropDown="0" showInputMessage="0" showErrorMessage="0" allowBlank="1" type="list">
      <formula1>Lists!$M$2:$M$6</formula1>
    </dataValidation>
    <dataValidation sqref="L9" showDropDown="0" showInputMessage="0" showErrorMessage="0" allowBlank="1" type="list">
      <formula1>Lists!$G$2:$G$3</formula1>
    </dataValidation>
    <dataValidation sqref="N9" showDropDown="0" showInputMessage="0" showErrorMessage="0" allowBlank="1" type="list">
      <formula1>Lists!$G$2:$G$3</formula1>
    </dataValidation>
    <dataValidation sqref="V9" showDropDown="0" showInputMessage="0" showErrorMessage="0" allowBlank="1" type="list">
      <formula1>"Green,Yellow,Amber,Red"</formula1>
    </dataValidation>
    <dataValidation sqref="X9" showDropDown="0" showInputMessage="0" showErrorMessage="0" allowBlank="1" type="list">
      <formula1>"Green,Yellow,Amber,Red"</formula1>
    </dataValidation>
    <dataValidation sqref="Z9" showDropDown="0" showInputMessage="0" showErrorMessage="0" allowBlank="1" type="list">
      <formula1>"Green,Yellow,Amber,Red"</formula1>
    </dataValidation>
    <dataValidation sqref="B10" showDropDown="0" showInputMessage="0" showErrorMessage="0" allowBlank="1" type="list">
      <formula1>Lists!$A$2:$A$5</formula1>
    </dataValidation>
    <dataValidation sqref="D10" showDropDown="0" showInputMessage="0" showErrorMessage="0" allowBlank="1" type="list">
      <formula1>Lists!$D$2:$D$4</formula1>
    </dataValidation>
    <dataValidation sqref="F10" showDropDown="0" showInputMessage="0" showErrorMessage="0" allowBlank="1" type="list">
      <formula1>Lists!$G$2:$G$3</formula1>
    </dataValidation>
    <dataValidation sqref="H10" showDropDown="0" showInputMessage="0" showErrorMessage="0" allowBlank="1" type="list">
      <formula1>Lists!$J$2:$J$6</formula1>
    </dataValidation>
    <dataValidation sqref="J10" showDropDown="0" showInputMessage="0" showErrorMessage="0" allowBlank="1" type="list">
      <formula1>Lists!$M$2:$M$6</formula1>
    </dataValidation>
    <dataValidation sqref="L10" showDropDown="0" showInputMessage="0" showErrorMessage="0" allowBlank="1" type="list">
      <formula1>Lists!$G$2:$G$3</formula1>
    </dataValidation>
    <dataValidation sqref="N10" showDropDown="0" showInputMessage="0" showErrorMessage="0" allowBlank="1" type="list">
      <formula1>Lists!$G$2:$G$3</formula1>
    </dataValidation>
    <dataValidation sqref="V10" showDropDown="0" showInputMessage="0" showErrorMessage="0" allowBlank="1" type="list">
      <formula1>"Green,Yellow,Amber,Red"</formula1>
    </dataValidation>
    <dataValidation sqref="X10" showDropDown="0" showInputMessage="0" showErrorMessage="0" allowBlank="1" type="list">
      <formula1>"Green,Yellow,Amber,Red"</formula1>
    </dataValidation>
    <dataValidation sqref="Z10" showDropDown="0" showInputMessage="0" showErrorMessage="0" allowBlank="1" type="list">
      <formula1>"Green,Yellow,Amber,Red"</formula1>
    </dataValidation>
    <dataValidation sqref="B11" showDropDown="0" showInputMessage="0" showErrorMessage="0" allowBlank="1" type="list">
      <formula1>Lists!$A$2:$A$5</formula1>
    </dataValidation>
    <dataValidation sqref="D11" showDropDown="0" showInputMessage="0" showErrorMessage="0" allowBlank="1" type="list">
      <formula1>Lists!$D$2:$D$4</formula1>
    </dataValidation>
    <dataValidation sqref="F11" showDropDown="0" showInputMessage="0" showErrorMessage="0" allowBlank="1" type="list">
      <formula1>Lists!$G$2:$G$3</formula1>
    </dataValidation>
    <dataValidation sqref="H11" showDropDown="0" showInputMessage="0" showErrorMessage="0" allowBlank="1" type="list">
      <formula1>Lists!$J$2:$J$6</formula1>
    </dataValidation>
    <dataValidation sqref="J11" showDropDown="0" showInputMessage="0" showErrorMessage="0" allowBlank="1" type="list">
      <formula1>Lists!$M$2:$M$6</formula1>
    </dataValidation>
    <dataValidation sqref="L11" showDropDown="0" showInputMessage="0" showErrorMessage="0" allowBlank="1" type="list">
      <formula1>Lists!$G$2:$G$3</formula1>
    </dataValidation>
    <dataValidation sqref="N11" showDropDown="0" showInputMessage="0" showErrorMessage="0" allowBlank="1" type="list">
      <formula1>Lists!$G$2:$G$3</formula1>
    </dataValidation>
    <dataValidation sqref="V11" showDropDown="0" showInputMessage="0" showErrorMessage="0" allowBlank="1" type="list">
      <formula1>"Green,Yellow,Amber,Red"</formula1>
    </dataValidation>
    <dataValidation sqref="X11" showDropDown="0" showInputMessage="0" showErrorMessage="0" allowBlank="1" type="list">
      <formula1>"Green,Yellow,Amber,Red"</formula1>
    </dataValidation>
    <dataValidation sqref="Z11" showDropDown="0" showInputMessage="0" showErrorMessage="0" allowBlank="1" type="list">
      <formula1>"Green,Yellow,Amber,Red"</formula1>
    </dataValidation>
    <dataValidation sqref="B12" showDropDown="0" showInputMessage="0" showErrorMessage="0" allowBlank="1" type="list">
      <formula1>Lists!$A$2:$A$5</formula1>
    </dataValidation>
    <dataValidation sqref="D12" showDropDown="0" showInputMessage="0" showErrorMessage="0" allowBlank="1" type="list">
      <formula1>Lists!$D$2:$D$4</formula1>
    </dataValidation>
    <dataValidation sqref="F12" showDropDown="0" showInputMessage="0" showErrorMessage="0" allowBlank="1" type="list">
      <formula1>Lists!$G$2:$G$3</formula1>
    </dataValidation>
    <dataValidation sqref="H12" showDropDown="0" showInputMessage="0" showErrorMessage="0" allowBlank="1" type="list">
      <formula1>Lists!$J$2:$J$6</formula1>
    </dataValidation>
    <dataValidation sqref="J12" showDropDown="0" showInputMessage="0" showErrorMessage="0" allowBlank="1" type="list">
      <formula1>Lists!$M$2:$M$6</formula1>
    </dataValidation>
    <dataValidation sqref="L12" showDropDown="0" showInputMessage="0" showErrorMessage="0" allowBlank="1" type="list">
      <formula1>Lists!$G$2:$G$3</formula1>
    </dataValidation>
    <dataValidation sqref="N12" showDropDown="0" showInputMessage="0" showErrorMessage="0" allowBlank="1" type="list">
      <formula1>Lists!$G$2:$G$3</formula1>
    </dataValidation>
    <dataValidation sqref="V12" showDropDown="0" showInputMessage="0" showErrorMessage="0" allowBlank="1" type="list">
      <formula1>"Green,Yellow,Amber,Red"</formula1>
    </dataValidation>
    <dataValidation sqref="X12" showDropDown="0" showInputMessage="0" showErrorMessage="0" allowBlank="1" type="list">
      <formula1>"Green,Yellow,Amber,Red"</formula1>
    </dataValidation>
    <dataValidation sqref="Z12" showDropDown="0" showInputMessage="0" showErrorMessage="0" allowBlank="1" type="list">
      <formula1>"Green,Yellow,Amber,Red"</formula1>
    </dataValidation>
    <dataValidation sqref="B13" showDropDown="0" showInputMessage="0" showErrorMessage="0" allowBlank="1" type="list">
      <formula1>Lists!$A$2:$A$5</formula1>
    </dataValidation>
    <dataValidation sqref="D13" showDropDown="0" showInputMessage="0" showErrorMessage="0" allowBlank="1" type="list">
      <formula1>Lists!$D$2:$D$4</formula1>
    </dataValidation>
    <dataValidation sqref="F13" showDropDown="0" showInputMessage="0" showErrorMessage="0" allowBlank="1" type="list">
      <formula1>Lists!$G$2:$G$3</formula1>
    </dataValidation>
    <dataValidation sqref="H13" showDropDown="0" showInputMessage="0" showErrorMessage="0" allowBlank="1" type="list">
      <formula1>Lists!$J$2:$J$6</formula1>
    </dataValidation>
    <dataValidation sqref="J13" showDropDown="0" showInputMessage="0" showErrorMessage="0" allowBlank="1" type="list">
      <formula1>Lists!$M$2:$M$6</formula1>
    </dataValidation>
    <dataValidation sqref="L13" showDropDown="0" showInputMessage="0" showErrorMessage="0" allowBlank="1" type="list">
      <formula1>Lists!$G$2:$G$3</formula1>
    </dataValidation>
    <dataValidation sqref="N13" showDropDown="0" showInputMessage="0" showErrorMessage="0" allowBlank="1" type="list">
      <formula1>Lists!$G$2:$G$3</formula1>
    </dataValidation>
    <dataValidation sqref="V13" showDropDown="0" showInputMessage="0" showErrorMessage="0" allowBlank="1" type="list">
      <formula1>"Green,Yellow,Amber,Red"</formula1>
    </dataValidation>
    <dataValidation sqref="X13" showDropDown="0" showInputMessage="0" showErrorMessage="0" allowBlank="1" type="list">
      <formula1>"Green,Yellow,Amber,Red"</formula1>
    </dataValidation>
    <dataValidation sqref="Z13" showDropDown="0" showInputMessage="0" showErrorMessage="0" allowBlank="1" type="list">
      <formula1>"Green,Yellow,Amber,Red"</formula1>
    </dataValidation>
    <dataValidation sqref="B14" showDropDown="0" showInputMessage="0" showErrorMessage="0" allowBlank="1" type="list">
      <formula1>Lists!$A$2:$A$5</formula1>
    </dataValidation>
    <dataValidation sqref="D14" showDropDown="0" showInputMessage="0" showErrorMessage="0" allowBlank="1" type="list">
      <formula1>Lists!$D$2:$D$4</formula1>
    </dataValidation>
    <dataValidation sqref="F14" showDropDown="0" showInputMessage="0" showErrorMessage="0" allowBlank="1" type="list">
      <formula1>Lists!$G$2:$G$3</formula1>
    </dataValidation>
    <dataValidation sqref="H14" showDropDown="0" showInputMessage="0" showErrorMessage="0" allowBlank="1" type="list">
      <formula1>Lists!$J$2:$J$6</formula1>
    </dataValidation>
    <dataValidation sqref="J14" showDropDown="0" showInputMessage="0" showErrorMessage="0" allowBlank="1" type="list">
      <formula1>Lists!$M$2:$M$6</formula1>
    </dataValidation>
    <dataValidation sqref="L14" showDropDown="0" showInputMessage="0" showErrorMessage="0" allowBlank="1" type="list">
      <formula1>Lists!$G$2:$G$3</formula1>
    </dataValidation>
    <dataValidation sqref="N14" showDropDown="0" showInputMessage="0" showErrorMessage="0" allowBlank="1" type="list">
      <formula1>Lists!$G$2:$G$3</formula1>
    </dataValidation>
    <dataValidation sqref="V14" showDropDown="0" showInputMessage="0" showErrorMessage="0" allowBlank="1" type="list">
      <formula1>"Green,Yellow,Amber,Red"</formula1>
    </dataValidation>
    <dataValidation sqref="X14" showDropDown="0" showInputMessage="0" showErrorMessage="0" allowBlank="1" type="list">
      <formula1>"Green,Yellow,Amber,Red"</formula1>
    </dataValidation>
    <dataValidation sqref="Z14" showDropDown="0" showInputMessage="0" showErrorMessage="0" allowBlank="1" type="list">
      <formula1>"Green,Yellow,Amber,Red"</formula1>
    </dataValidation>
    <dataValidation sqref="B15" showDropDown="0" showInputMessage="0" showErrorMessage="0" allowBlank="1" type="list">
      <formula1>Lists!$A$2:$A$5</formula1>
    </dataValidation>
    <dataValidation sqref="D15" showDropDown="0" showInputMessage="0" showErrorMessage="0" allowBlank="1" type="list">
      <formula1>Lists!$D$2:$D$4</formula1>
    </dataValidation>
    <dataValidation sqref="F15" showDropDown="0" showInputMessage="0" showErrorMessage="0" allowBlank="1" type="list">
      <formula1>Lists!$G$2:$G$3</formula1>
    </dataValidation>
    <dataValidation sqref="H15" showDropDown="0" showInputMessage="0" showErrorMessage="0" allowBlank="1" type="list">
      <formula1>Lists!$J$2:$J$6</formula1>
    </dataValidation>
    <dataValidation sqref="J15" showDropDown="0" showInputMessage="0" showErrorMessage="0" allowBlank="1" type="list">
      <formula1>Lists!$M$2:$M$6</formula1>
    </dataValidation>
    <dataValidation sqref="L15" showDropDown="0" showInputMessage="0" showErrorMessage="0" allowBlank="1" type="list">
      <formula1>Lists!$G$2:$G$3</formula1>
    </dataValidation>
    <dataValidation sqref="N15" showDropDown="0" showInputMessage="0" showErrorMessage="0" allowBlank="1" type="list">
      <formula1>Lists!$G$2:$G$3</formula1>
    </dataValidation>
    <dataValidation sqref="V15" showDropDown="0" showInputMessage="0" showErrorMessage="0" allowBlank="1" type="list">
      <formula1>"Green,Yellow,Amber,Red"</formula1>
    </dataValidation>
    <dataValidation sqref="X15" showDropDown="0" showInputMessage="0" showErrorMessage="0" allowBlank="1" type="list">
      <formula1>"Green,Yellow,Amber,Red"</formula1>
    </dataValidation>
    <dataValidation sqref="Z15" showDropDown="0" showInputMessage="0" showErrorMessage="0" allowBlank="1" type="list">
      <formula1>"Green,Yellow,Amber,Red"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5B18"/>
    <outlinePr summaryBelow="1" summaryRight="1"/>
    <pageSetUpPr/>
  </sheetPr>
  <dimension ref="A1:I16"/>
  <sheetViews>
    <sheetView showGridLines="0" tabSelected="0" workbookViewId="0">
      <selection activeCell="B28" sqref="B28"/>
    </sheetView>
  </sheetViews>
  <sheetFormatPr baseColWidth="10" defaultColWidth="8.83203125" defaultRowHeight="15"/>
  <cols>
    <col width="26" customWidth="1" style="22" min="1" max="2"/>
    <col width="10" customWidth="1" style="22" min="3" max="3"/>
    <col width="13" customWidth="1" style="22" min="4" max="6"/>
    <col width="20" customWidth="1" style="22" min="7" max="9"/>
  </cols>
  <sheetData>
    <row r="1" ht="21" customHeight="1" s="22">
      <c r="A1" s="23" t="inlineStr">
        <is>
          <t>Kestrel — Heat Scoring</t>
        </is>
      </c>
    </row>
    <row r="2">
      <c r="A2" s="21" t="inlineStr">
        <is>
          <t>Formula: Final Score = Σ(Raw Score × Weight) / 100, rounded, clamped to 0–100.</t>
        </is>
      </c>
    </row>
    <row r="4" ht="16" customHeight="1" s="22">
      <c r="A4" s="15" t="inlineStr">
        <is>
          <t>Data source (pick one)</t>
        </is>
      </c>
      <c r="B4" s="11" t="inlineStr">
        <is>
          <t>Heat Index</t>
        </is>
      </c>
    </row>
    <row r="5">
      <c r="A5" s="24" t="inlineStr">
        <is>
          <t>WBGT and Heat Index are mutually exclusive — only the selected source feeds the score, matching the app's radio toggle.</t>
        </is>
      </c>
    </row>
    <row r="7" ht="16" customHeight="1" s="22">
      <c r="A7" s="9" t="inlineStr">
        <is>
          <t>Input</t>
        </is>
      </c>
      <c r="B7" s="9" t="inlineStr">
        <is>
          <t>Condition (pick one)</t>
        </is>
      </c>
      <c r="C7" s="9" t="inlineStr">
        <is>
          <t>Raw Score</t>
        </is>
      </c>
      <c r="D7" s="9" t="inlineStr">
        <is>
          <t>Facility Wt %</t>
        </is>
      </c>
      <c r="E7" s="9" t="inlineStr">
        <is>
          <t>Outdoor Wt %</t>
        </is>
      </c>
      <c r="F7" s="9" t="inlineStr">
        <is>
          <t>Roads Wt %</t>
        </is>
      </c>
      <c r="G7" s="9" t="inlineStr">
        <is>
          <t>Facility Contribution</t>
        </is>
      </c>
      <c r="H7" s="9" t="inlineStr">
        <is>
          <t>Outdoor Contribution</t>
        </is>
      </c>
      <c r="I7" s="9" t="inlineStr">
        <is>
          <t>Roads Contribution</t>
        </is>
      </c>
    </row>
    <row r="8">
      <c r="A8" s="10" t="inlineStr">
        <is>
          <t>WBGT reading</t>
        </is>
      </c>
      <c r="B8" s="11" t="n"/>
      <c r="C8" s="10">
        <f>IFERROR(VLOOKUP(B8,Lists!$P$2:$Q$5,2,FALSE),0)</f>
        <v/>
      </c>
    </row>
    <row r="9">
      <c r="A9" s="10" t="inlineStr">
        <is>
          <t>Heat Index reading</t>
        </is>
      </c>
      <c r="B9" s="11" t="n"/>
      <c r="C9" s="10">
        <f>IFERROR(VLOOKUP(B9,Lists!$S$2:$T$5,2,FALSE),0)</f>
        <v/>
      </c>
    </row>
    <row r="10">
      <c r="A10" s="19" t="inlineStr">
        <is>
          <t>Heat Stress (used in scoring)</t>
        </is>
      </c>
      <c r="C10" s="20">
        <f>IF(B4="WBGT",C8,IF(B4="Heat Index",C9,0))</f>
        <v/>
      </c>
      <c r="D10" s="10" t="n">
        <v>80</v>
      </c>
      <c r="E10" s="10" t="n">
        <v>80</v>
      </c>
      <c r="F10" s="10" t="n">
        <v>10</v>
      </c>
      <c r="G10" s="13">
        <f>C10*D10</f>
        <v/>
      </c>
      <c r="H10" s="13">
        <f>C10*E10</f>
        <v/>
      </c>
      <c r="I10" s="13">
        <f>C10*F10</f>
        <v/>
      </c>
    </row>
    <row r="11">
      <c r="A11" s="10" t="inlineStr">
        <is>
          <t>Sustained Wind</t>
        </is>
      </c>
      <c r="B11" s="11" t="n"/>
      <c r="C11" s="10">
        <f>IFERROR(VLOOKUP(B11,Lists!$V$2:$W$5,2,FALSE),0)</f>
        <v/>
      </c>
      <c r="D11" s="10" t="n">
        <v>20</v>
      </c>
      <c r="E11" s="10" t="n">
        <v>20</v>
      </c>
      <c r="F11" s="10" t="n">
        <v>10</v>
      </c>
      <c r="G11" s="13">
        <f>C11*D11</f>
        <v/>
      </c>
      <c r="H11" s="13">
        <f>C11*E11</f>
        <v/>
      </c>
      <c r="I11" s="13">
        <f>C11*F11</f>
        <v/>
      </c>
    </row>
    <row r="13" ht="16" customHeight="1" s="22">
      <c r="A13" s="15" t="inlineStr">
        <is>
          <t>Final Scores</t>
        </is>
      </c>
      <c r="G13" s="16" t="inlineStr">
        <is>
          <t>Facility Ops</t>
        </is>
      </c>
      <c r="H13" s="16" t="inlineStr">
        <is>
          <t>Outdoor Activities</t>
        </is>
      </c>
      <c r="I13" s="16" t="inlineStr">
        <is>
          <t>Roads &amp; Travel</t>
        </is>
      </c>
    </row>
    <row r="14" ht="19" customHeight="1" s="22">
      <c r="G14" s="17">
        <f>MIN(100,MAX(0,ROUND((G10+G11)/100,0)))</f>
        <v/>
      </c>
      <c r="H14" s="17">
        <f>MIN(100,MAX(0,ROUND((H10+H11)/100,0)))</f>
        <v/>
      </c>
      <c r="I14" s="17">
        <f>MIN(100,MAX(0,ROUND((I10+I11)/100,0)))</f>
        <v/>
      </c>
    </row>
    <row r="15" ht="16" customHeight="1" s="22">
      <c r="G15" s="18">
        <f>IF(G14&lt;25,"Green — Normal Operations",IF(G14&lt;50,"Yellow — Elevated Caution",IF(G14&lt;75,"Amber — High Risk","Red — Severe Risk")))</f>
        <v/>
      </c>
      <c r="H15" s="18">
        <f>IF(H14&lt;25,"Green — Normal Operations",IF(H14&lt;50,"Yellow — Elevated Caution",IF(H14&lt;75,"Amber — High Risk","Red — Severe Risk")))</f>
        <v/>
      </c>
      <c r="I15" s="18">
        <f>IF(I14&lt;25,"Green — Normal Operations",IF(I14&lt;50,"Yellow — Elevated Caution",IF(I14&lt;75,"Amber — High Risk","Red — Severe Risk")))</f>
        <v/>
      </c>
    </row>
    <row r="16">
      <c r="A16" s="24" t="n"/>
    </row>
  </sheetData>
  <mergeCells count="4">
    <mergeCell ref="A1:I1"/>
    <mergeCell ref="A5:I5"/>
    <mergeCell ref="A2:I2"/>
    <mergeCell ref="A16:I16"/>
  </mergeCells>
  <conditionalFormatting sqref="G15:I15">
    <cfRule type="expression" priority="1" dxfId="3">
      <formula>ISNUMBER(SEARCH("Green",G15))</formula>
    </cfRule>
    <cfRule type="expression" priority="2" dxfId="2">
      <formula>ISNUMBER(SEARCH("Yellow",G15))</formula>
    </cfRule>
    <cfRule type="expression" priority="3" dxfId="1">
      <formula>ISNUMBER(SEARCH("Amber",G15))</formula>
    </cfRule>
    <cfRule type="expression" priority="4" dxfId="0">
      <formula>ISNUMBER(SEARCH("Red",G15))</formula>
    </cfRule>
  </conditionalFormatting>
  <dataValidations count="5">
    <dataValidation sqref="B4" showDropDown="0" showInputMessage="0" showErrorMessage="0" allowBlank="1" type="list">
      <formula1>"WBGT,Heat Index"</formula1>
    </dataValidation>
    <dataValidation sqref="B4" showDropDown="0" showInputMessage="0" showErrorMessage="0" allowBlank="1" type="list">
      <formula1>"WBGT,Heat Index"</formula1>
    </dataValidation>
    <dataValidation sqref="B8" showDropDown="0" showInputMessage="0" showErrorMessage="0" allowBlank="1" type="list">
      <formula1>Lists!$P$2:$P$5</formula1>
    </dataValidation>
    <dataValidation sqref="B9" showDropDown="0" showInputMessage="0" showErrorMessage="0" allowBlank="1" type="list">
      <formula1>Lists!$S$2:$S$5</formula1>
    </dataValidation>
    <dataValidation sqref="B11" showDropDown="0" showInputMessage="0" showErrorMessage="0" allowBlank="1" type="list">
      <formula1>Lists!$V$2:$V$5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5B18"/>
    <outlinePr summaryBelow="1" summaryRight="1"/>
    <pageSetUpPr/>
  </sheetPr>
  <dimension ref="A1:V15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style="22" min="1" max="1"/>
    <col width="12" customWidth="1" style="22" min="2" max="2"/>
    <col width="13" customWidth="1" style="22" min="3" max="3"/>
    <col hidden="1" width="13" customWidth="1" style="22" min="4" max="4"/>
    <col width="13" customWidth="1" style="22" min="5" max="5"/>
    <col hidden="1" width="13" customWidth="1" style="22" min="6" max="6"/>
    <col width="12" customWidth="1" style="22" min="7" max="7"/>
    <col width="13" customWidth="1" style="22" min="8" max="8"/>
    <col hidden="1" width="13" customWidth="1" style="22" min="9" max="9"/>
    <col width="13" customWidth="1" style="22" min="10" max="10"/>
    <col width="15" customWidth="1" style="22" min="11" max="11"/>
    <col width="13" customWidth="1" style="22" min="12" max="12"/>
    <col width="15" customWidth="1" style="22" min="13" max="13"/>
    <col width="13" customWidth="1" style="22" min="14" max="14"/>
    <col width="15" customWidth="1" style="22" min="15" max="15"/>
    <col width="12" customWidth="1" style="22" min="16" max="16"/>
    <col width="12" customWidth="1" style="22" min="17" max="17"/>
    <col width="12" customWidth="1" style="22" min="18" max="18"/>
    <col width="12" customWidth="1" style="22" min="19" max="19"/>
    <col width="12" customWidth="1" style="22" min="20" max="20"/>
    <col width="12" customWidth="1" style="22" min="21" max="21"/>
    <col width="26" customWidth="1" style="22" min="22" max="22"/>
  </cols>
  <sheetData>
    <row r="1">
      <c r="A1" s="25" t="inlineStr">
        <is>
          <t>Kestrel — Heat Examples</t>
        </is>
      </c>
    </row>
    <row r="2">
      <c r="A2" s="26" t="inlineStr">
        <is>
          <t>Pre-built scenarios scored by the same formula/weights as the interactive tab. Fill in 'Your Ranking' per category from historical judgment, then check the Match column.</t>
        </is>
      </c>
    </row>
    <row r="3">
      <c r="A3" s="36" t="inlineStr">
        <is>
          <t>WBGT and Heat Index are mutually exclusive per scenario, exactly like the app's radio toggle.</t>
        </is>
      </c>
    </row>
    <row r="5">
      <c r="A5" s="27" t="inlineStr">
        <is>
          <t>Scenario</t>
        </is>
      </c>
      <c r="B5" s="27" t="inlineStr">
        <is>
          <t>Data Source</t>
        </is>
      </c>
      <c r="C5" s="27" t="inlineStr">
        <is>
          <t>WBGT reading</t>
        </is>
      </c>
      <c r="D5" s="27" t="inlineStr">
        <is>
          <t>WBGT (raw)</t>
        </is>
      </c>
      <c r="E5" s="27" t="inlineStr">
        <is>
          <t>Heat Index reading</t>
        </is>
      </c>
      <c r="F5" s="27" t="inlineStr">
        <is>
          <t>HI (raw)</t>
        </is>
      </c>
      <c r="G5" s="27" t="inlineStr">
        <is>
          <t>Heat Stress (raw, used)</t>
        </is>
      </c>
      <c r="H5" s="27" t="inlineStr">
        <is>
          <t>Sustained Wind</t>
        </is>
      </c>
      <c r="I5" s="27" t="inlineStr">
        <is>
          <t>Wind (raw)</t>
        </is>
      </c>
      <c r="J5" s="27" t="inlineStr">
        <is>
          <t>Facility Score</t>
        </is>
      </c>
      <c r="K5" s="27" t="inlineStr">
        <is>
          <t>Facility Level</t>
        </is>
      </c>
      <c r="L5" s="27" t="inlineStr">
        <is>
          <t>Outdoor Score</t>
        </is>
      </c>
      <c r="M5" s="27" t="inlineStr">
        <is>
          <t>Outdoor Level</t>
        </is>
      </c>
      <c r="N5" s="27" t="inlineStr">
        <is>
          <t>Roads Score</t>
        </is>
      </c>
      <c r="O5" s="27" t="inlineStr">
        <is>
          <t>Roads Level</t>
        </is>
      </c>
      <c r="P5" s="27" t="inlineStr">
        <is>
          <t>Your: Facility</t>
        </is>
      </c>
      <c r="Q5" s="27" t="inlineStr">
        <is>
          <t>Facility Match</t>
        </is>
      </c>
      <c r="R5" s="27" t="inlineStr">
        <is>
          <t>Your: Outdoor</t>
        </is>
      </c>
      <c r="S5" s="27" t="inlineStr">
        <is>
          <t>Outdoor Match</t>
        </is>
      </c>
      <c r="T5" s="27" t="inlineStr">
        <is>
          <t>Your: Roads</t>
        </is>
      </c>
      <c r="U5" s="27" t="inlineStr">
        <is>
          <t>Roads Match</t>
        </is>
      </c>
      <c r="V5" s="27" t="inlineStr">
        <is>
          <t>Notes</t>
        </is>
      </c>
    </row>
    <row r="6">
      <c r="A6" s="28" t="inlineStr">
        <is>
          <t>Mild summer day</t>
        </is>
      </c>
      <c r="B6" s="29" t="inlineStr">
        <is>
          <t>Heat Index</t>
        </is>
      </c>
      <c r="C6" s="29" t="inlineStr"/>
      <c r="D6" s="37">
        <f>IFERROR(VLOOKUP(C6,Lists!$P$2:$Q$5,2,FALSE),0)</f>
        <v/>
      </c>
      <c r="E6" s="29" t="inlineStr">
        <is>
          <t>&lt;90°F</t>
        </is>
      </c>
      <c r="F6" s="37">
        <f>IFERROR(VLOOKUP(E6,Lists!$S$2:$T$5,2,FALSE),0)</f>
        <v/>
      </c>
      <c r="G6" s="38">
        <f>IF(B6="WBGT",D6,IF(B6="Heat Index",F6,0))</f>
        <v/>
      </c>
      <c r="H6" s="29" t="inlineStr">
        <is>
          <t>&lt;20 mph</t>
        </is>
      </c>
      <c r="I6" s="37">
        <f>IFERROR(VLOOKUP(H6,Lists!$V$2:$W$5,2,FALSE),0)</f>
        <v/>
      </c>
      <c r="J6" s="31">
        <f>MIN(100,MAX(0,ROUND((G6*80+I6*20)/100,0)))</f>
        <v/>
      </c>
      <c r="K6" s="32">
        <f>IF(J6&lt;25,"Green — Normal Operations",IF(J6&lt;50,"Yellow — Elevated Caution",IF(J6&lt;75,"Amber — High Risk","Red — Severe Risk")))</f>
        <v/>
      </c>
      <c r="L6" s="31">
        <f>MIN(100,MAX(0,ROUND((G6*80+I6*20)/100,0)))</f>
        <v/>
      </c>
      <c r="M6" s="32">
        <f>IF(L6&lt;25,"Green — Normal Operations",IF(L6&lt;50,"Yellow — Elevated Caution",IF(L6&lt;75,"Amber — High Risk","Red — Severe Risk")))</f>
        <v/>
      </c>
      <c r="N6" s="31">
        <f>MIN(100,MAX(0,ROUND((G6*10+I6*10)/100,0)))</f>
        <v/>
      </c>
      <c r="O6" s="32">
        <f>IF(N6&lt;25,"Green — Normal Operations",IF(N6&lt;50,"Yellow — Elevated Caution",IF(N6&lt;75,"Amber — High Risk","Red — Severe Risk")))</f>
        <v/>
      </c>
      <c r="P6" s="33" t="n"/>
      <c r="Q6" s="34">
        <f>IF(P6="","",IF(P6=LEFT(K6,FIND(" ",K6)-1),"Match","Differs"))</f>
        <v/>
      </c>
      <c r="R6" s="33" t="n"/>
      <c r="S6" s="34">
        <f>IF(R6="","",IF(R6=LEFT(M6,FIND(" ",M6)-1),"Match","Differs"))</f>
        <v/>
      </c>
      <c r="T6" s="33" t="n"/>
      <c r="U6" s="34">
        <f>IF(T6="","",IF(T6=LEFT(O6,FIND(" ",O6)-1),"Match","Differs"))</f>
        <v/>
      </c>
      <c r="V6" s="35" t="n"/>
    </row>
    <row r="7">
      <c r="A7" s="28" t="inlineStr">
        <is>
          <t>Warm, breezy afternoon</t>
        </is>
      </c>
      <c r="B7" s="29" t="inlineStr">
        <is>
          <t>Heat Index</t>
        </is>
      </c>
      <c r="C7" s="29" t="inlineStr"/>
      <c r="D7" s="37">
        <f>IFERROR(VLOOKUP(C7,Lists!$P$2:$Q$5,2,FALSE),0)</f>
        <v/>
      </c>
      <c r="E7" s="29" t="inlineStr">
        <is>
          <t>&lt;90°F</t>
        </is>
      </c>
      <c r="F7" s="37">
        <f>IFERROR(VLOOKUP(E7,Lists!$S$2:$T$5,2,FALSE),0)</f>
        <v/>
      </c>
      <c r="G7" s="38">
        <f>IF(B7="WBGT",D7,IF(B7="Heat Index",F7,0))</f>
        <v/>
      </c>
      <c r="H7" s="29" t="inlineStr">
        <is>
          <t>20–30 mph</t>
        </is>
      </c>
      <c r="I7" s="37">
        <f>IFERROR(VLOOKUP(H7,Lists!$V$2:$W$5,2,FALSE),0)</f>
        <v/>
      </c>
      <c r="J7" s="31">
        <f>MIN(100,MAX(0,ROUND((G7*80+I7*20)/100,0)))</f>
        <v/>
      </c>
      <c r="K7" s="32">
        <f>IF(J7&lt;25,"Green — Normal Operations",IF(J7&lt;50,"Yellow — Elevated Caution",IF(J7&lt;75,"Amber — High Risk","Red — Severe Risk")))</f>
        <v/>
      </c>
      <c r="L7" s="31">
        <f>MIN(100,MAX(0,ROUND((G7*80+I7*20)/100,0)))</f>
        <v/>
      </c>
      <c r="M7" s="32">
        <f>IF(L7&lt;25,"Green — Normal Operations",IF(L7&lt;50,"Yellow — Elevated Caution",IF(L7&lt;75,"Amber — High Risk","Red — Severe Risk")))</f>
        <v/>
      </c>
      <c r="N7" s="31">
        <f>MIN(100,MAX(0,ROUND((G7*10+I7*10)/100,0)))</f>
        <v/>
      </c>
      <c r="O7" s="32">
        <f>IF(N7&lt;25,"Green — Normal Operations",IF(N7&lt;50,"Yellow — Elevated Caution",IF(N7&lt;75,"Amber — High Risk","Red — Severe Risk")))</f>
        <v/>
      </c>
      <c r="P7" s="33" t="n"/>
      <c r="Q7" s="34">
        <f>IF(P7="","",IF(P7=LEFT(K7,FIND(" ",K7)-1),"Match","Differs"))</f>
        <v/>
      </c>
      <c r="R7" s="33" t="n"/>
      <c r="S7" s="34">
        <f>IF(R7="","",IF(R7=LEFT(M7,FIND(" ",M7)-1),"Match","Differs"))</f>
        <v/>
      </c>
      <c r="T7" s="33" t="n"/>
      <c r="U7" s="34">
        <f>IF(T7="","",IF(T7=LEFT(O7,FIND(" ",O7)-1),"Match","Differs"))</f>
        <v/>
      </c>
      <c r="V7" s="35" t="n"/>
    </row>
    <row r="8">
      <c r="A8" s="28" t="inlineStr">
        <is>
          <t>Heat advisory (HI 90-100°F)</t>
        </is>
      </c>
      <c r="B8" s="29" t="inlineStr">
        <is>
          <t>Heat Index</t>
        </is>
      </c>
      <c r="C8" s="29" t="inlineStr"/>
      <c r="D8" s="37">
        <f>IFERROR(VLOOKUP(C8,Lists!$P$2:$Q$5,2,FALSE),0)</f>
        <v/>
      </c>
      <c r="E8" s="29" t="inlineStr">
        <is>
          <t>90–100°F</t>
        </is>
      </c>
      <c r="F8" s="37">
        <f>IFERROR(VLOOKUP(E8,Lists!$S$2:$T$5,2,FALSE),0)</f>
        <v/>
      </c>
      <c r="G8" s="38">
        <f>IF(B8="WBGT",D8,IF(B8="Heat Index",F8,0))</f>
        <v/>
      </c>
      <c r="H8" s="29" t="inlineStr">
        <is>
          <t>&lt;20 mph</t>
        </is>
      </c>
      <c r="I8" s="37">
        <f>IFERROR(VLOOKUP(H8,Lists!$V$2:$W$5,2,FALSE),0)</f>
        <v/>
      </c>
      <c r="J8" s="31">
        <f>MIN(100,MAX(0,ROUND((G8*80+I8*20)/100,0)))</f>
        <v/>
      </c>
      <c r="K8" s="32">
        <f>IF(J8&lt;25,"Green — Normal Operations",IF(J8&lt;50,"Yellow — Elevated Caution",IF(J8&lt;75,"Amber — High Risk","Red — Severe Risk")))</f>
        <v/>
      </c>
      <c r="L8" s="31">
        <f>MIN(100,MAX(0,ROUND((G8*80+I8*20)/100,0)))</f>
        <v/>
      </c>
      <c r="M8" s="32">
        <f>IF(L8&lt;25,"Green — Normal Operations",IF(L8&lt;50,"Yellow — Elevated Caution",IF(L8&lt;75,"Amber — High Risk","Red — Severe Risk")))</f>
        <v/>
      </c>
      <c r="N8" s="31">
        <f>MIN(100,MAX(0,ROUND((G8*10+I8*10)/100,0)))</f>
        <v/>
      </c>
      <c r="O8" s="32">
        <f>IF(N8&lt;25,"Green — Normal Operations",IF(N8&lt;50,"Yellow — Elevated Caution",IF(N8&lt;75,"Amber — High Risk","Red — Severe Risk")))</f>
        <v/>
      </c>
      <c r="P8" s="33" t="n"/>
      <c r="Q8" s="34">
        <f>IF(P8="","",IF(P8=LEFT(K8,FIND(" ",K8)-1),"Match","Differs"))</f>
        <v/>
      </c>
      <c r="R8" s="33" t="n"/>
      <c r="S8" s="34">
        <f>IF(R8="","",IF(R8=LEFT(M8,FIND(" ",M8)-1),"Match","Differs"))</f>
        <v/>
      </c>
      <c r="T8" s="33" t="n"/>
      <c r="U8" s="34">
        <f>IF(T8="","",IF(T8=LEFT(O8,FIND(" ",O8)-1),"Match","Differs"))</f>
        <v/>
      </c>
      <c r="V8" s="35" t="n"/>
    </row>
    <row r="9">
      <c r="A9" s="28" t="inlineStr">
        <is>
          <t>Excessive heat watch (HI 100-108°F)</t>
        </is>
      </c>
      <c r="B9" s="29" t="inlineStr">
        <is>
          <t>Heat Index</t>
        </is>
      </c>
      <c r="C9" s="29" t="inlineStr"/>
      <c r="D9" s="37">
        <f>IFERROR(VLOOKUP(C9,Lists!$P$2:$Q$5,2,FALSE),0)</f>
        <v/>
      </c>
      <c r="E9" s="29" t="inlineStr">
        <is>
          <t>100–108°F</t>
        </is>
      </c>
      <c r="F9" s="37">
        <f>IFERROR(VLOOKUP(E9,Lists!$S$2:$T$5,2,FALSE),0)</f>
        <v/>
      </c>
      <c r="G9" s="38">
        <f>IF(B9="WBGT",D9,IF(B9="Heat Index",F9,0))</f>
        <v/>
      </c>
      <c r="H9" s="29" t="inlineStr">
        <is>
          <t>20–30 mph</t>
        </is>
      </c>
      <c r="I9" s="37">
        <f>IFERROR(VLOOKUP(H9,Lists!$V$2:$W$5,2,FALSE),0)</f>
        <v/>
      </c>
      <c r="J9" s="31">
        <f>MIN(100,MAX(0,ROUND((G9*80+I9*20)/100,0)))</f>
        <v/>
      </c>
      <c r="K9" s="32">
        <f>IF(J9&lt;25,"Green — Normal Operations",IF(J9&lt;50,"Yellow — Elevated Caution",IF(J9&lt;75,"Amber — High Risk","Red — Severe Risk")))</f>
        <v/>
      </c>
      <c r="L9" s="31">
        <f>MIN(100,MAX(0,ROUND((G9*80+I9*20)/100,0)))</f>
        <v/>
      </c>
      <c r="M9" s="32">
        <f>IF(L9&lt;25,"Green — Normal Operations",IF(L9&lt;50,"Yellow — Elevated Caution",IF(L9&lt;75,"Amber — High Risk","Red — Severe Risk")))</f>
        <v/>
      </c>
      <c r="N9" s="31">
        <f>MIN(100,MAX(0,ROUND((G9*10+I9*10)/100,0)))</f>
        <v/>
      </c>
      <c r="O9" s="32">
        <f>IF(N9&lt;25,"Green — Normal Operations",IF(N9&lt;50,"Yellow — Elevated Caution",IF(N9&lt;75,"Amber — High Risk","Red — Severe Risk")))</f>
        <v/>
      </c>
      <c r="P9" s="33" t="n"/>
      <c r="Q9" s="34">
        <f>IF(P9="","",IF(P9=LEFT(K9,FIND(" ",K9)-1),"Match","Differs"))</f>
        <v/>
      </c>
      <c r="R9" s="33" t="n"/>
      <c r="S9" s="34">
        <f>IF(R9="","",IF(R9=LEFT(M9,FIND(" ",M9)-1),"Match","Differs"))</f>
        <v/>
      </c>
      <c r="T9" s="33" t="n"/>
      <c r="U9" s="34">
        <f>IF(T9="","",IF(T9=LEFT(O9,FIND(" ",O9)-1),"Match","Differs"))</f>
        <v/>
      </c>
      <c r="V9" s="35" t="n"/>
    </row>
    <row r="10">
      <c r="A10" s="28" t="inlineStr">
        <is>
          <t>Excessive heat warning (HI &gt;108°F)</t>
        </is>
      </c>
      <c r="B10" s="29" t="inlineStr">
        <is>
          <t>Heat Index</t>
        </is>
      </c>
      <c r="C10" s="29" t="inlineStr"/>
      <c r="D10" s="37">
        <f>IFERROR(VLOOKUP(C10,Lists!$P$2:$Q$5,2,FALSE),0)</f>
        <v/>
      </c>
      <c r="E10" s="29" t="inlineStr">
        <is>
          <t>&gt;108°F</t>
        </is>
      </c>
      <c r="F10" s="37">
        <f>IFERROR(VLOOKUP(E10,Lists!$S$2:$T$5,2,FALSE),0)</f>
        <v/>
      </c>
      <c r="G10" s="38">
        <f>IF(B10="WBGT",D10,IF(B10="Heat Index",F10,0))</f>
        <v/>
      </c>
      <c r="H10" s="29" t="inlineStr">
        <is>
          <t>&lt;20 mph</t>
        </is>
      </c>
      <c r="I10" s="37">
        <f>IFERROR(VLOOKUP(H10,Lists!$V$2:$W$5,2,FALSE),0)</f>
        <v/>
      </c>
      <c r="J10" s="31">
        <f>MIN(100,MAX(0,ROUND((G10*80+I10*20)/100,0)))</f>
        <v/>
      </c>
      <c r="K10" s="32">
        <f>IF(J10&lt;25,"Green — Normal Operations",IF(J10&lt;50,"Yellow — Elevated Caution",IF(J10&lt;75,"Amber — High Risk","Red — Severe Risk")))</f>
        <v/>
      </c>
      <c r="L10" s="31">
        <f>MIN(100,MAX(0,ROUND((G10*80+I10*20)/100,0)))</f>
        <v/>
      </c>
      <c r="M10" s="32">
        <f>IF(L10&lt;25,"Green — Normal Operations",IF(L10&lt;50,"Yellow — Elevated Caution",IF(L10&lt;75,"Amber — High Risk","Red — Severe Risk")))</f>
        <v/>
      </c>
      <c r="N10" s="31">
        <f>MIN(100,MAX(0,ROUND((G10*10+I10*10)/100,0)))</f>
        <v/>
      </c>
      <c r="O10" s="32">
        <f>IF(N10&lt;25,"Green — Normal Operations",IF(N10&lt;50,"Yellow — Elevated Caution",IF(N10&lt;75,"Amber — High Risk","Red — Severe Risk")))</f>
        <v/>
      </c>
      <c r="P10" s="33" t="n"/>
      <c r="Q10" s="34">
        <f>IF(P10="","",IF(P10=LEFT(K10,FIND(" ",K10)-1),"Match","Differs"))</f>
        <v/>
      </c>
      <c r="R10" s="33" t="n"/>
      <c r="S10" s="34">
        <f>IF(R10="","",IF(R10=LEFT(M10,FIND(" ",M10)-1),"Match","Differs"))</f>
        <v/>
      </c>
      <c r="T10" s="33" t="n"/>
      <c r="U10" s="34">
        <f>IF(T10="","",IF(T10=LEFT(O10,FIND(" ",O10)-1),"Match","Differs"))</f>
        <v/>
      </c>
      <c r="V10" s="35" t="n"/>
    </row>
    <row r="11">
      <c r="A11" s="28" t="inlineStr">
        <is>
          <t>WBGT black flag, breezy</t>
        </is>
      </c>
      <c r="B11" s="29" t="inlineStr">
        <is>
          <t>WBGT</t>
        </is>
      </c>
      <c r="C11" s="29" t="inlineStr">
        <is>
          <t>≥90.0°F</t>
        </is>
      </c>
      <c r="D11" s="37">
        <f>IFERROR(VLOOKUP(C11,Lists!$P$2:$Q$5,2,FALSE),0)</f>
        <v/>
      </c>
      <c r="E11" s="29" t="inlineStr"/>
      <c r="F11" s="37">
        <f>IFERROR(VLOOKUP(E11,Lists!$S$2:$T$5,2,FALSE),0)</f>
        <v/>
      </c>
      <c r="G11" s="38">
        <f>IF(B11="WBGT",D11,IF(B11="Heat Index",F11,0))</f>
        <v/>
      </c>
      <c r="H11" s="29" t="inlineStr">
        <is>
          <t>20–30 mph</t>
        </is>
      </c>
      <c r="I11" s="37">
        <f>IFERROR(VLOOKUP(H11,Lists!$V$2:$W$5,2,FALSE),0)</f>
        <v/>
      </c>
      <c r="J11" s="31">
        <f>MIN(100,MAX(0,ROUND((G11*80+I11*20)/100,0)))</f>
        <v/>
      </c>
      <c r="K11" s="32">
        <f>IF(J11&lt;25,"Green — Normal Operations",IF(J11&lt;50,"Yellow — Elevated Caution",IF(J11&lt;75,"Amber — High Risk","Red — Severe Risk")))</f>
        <v/>
      </c>
      <c r="L11" s="31">
        <f>MIN(100,MAX(0,ROUND((G11*80+I11*20)/100,0)))</f>
        <v/>
      </c>
      <c r="M11" s="32">
        <f>IF(L11&lt;25,"Green — Normal Operations",IF(L11&lt;50,"Yellow — Elevated Caution",IF(L11&lt;75,"Amber — High Risk","Red — Severe Risk")))</f>
        <v/>
      </c>
      <c r="N11" s="31">
        <f>MIN(100,MAX(0,ROUND((G11*10+I11*10)/100,0)))</f>
        <v/>
      </c>
      <c r="O11" s="32">
        <f>IF(N11&lt;25,"Green — Normal Operations",IF(N11&lt;50,"Yellow — Elevated Caution",IF(N11&lt;75,"Amber — High Risk","Red — Severe Risk")))</f>
        <v/>
      </c>
      <c r="P11" s="33" t="n"/>
      <c r="Q11" s="34">
        <f>IF(P11="","",IF(P11=LEFT(K11,FIND(" ",K11)-1),"Match","Differs"))</f>
        <v/>
      </c>
      <c r="R11" s="33" t="n"/>
      <c r="S11" s="34">
        <f>IF(R11="","",IF(R11=LEFT(M11,FIND(" ",M11)-1),"Match","Differs"))</f>
        <v/>
      </c>
      <c r="T11" s="33" t="n"/>
      <c r="U11" s="34">
        <f>IF(T11="","",IF(T11=LEFT(O11,FIND(" ",O11)-1),"Match","Differs"))</f>
        <v/>
      </c>
      <c r="V11" s="35" t="n"/>
    </row>
    <row r="12">
      <c r="A12" s="28" t="inlineStr">
        <is>
          <t>WBGT green-yellow flag range</t>
        </is>
      </c>
      <c r="B12" s="29" t="inlineStr">
        <is>
          <t>WBGT</t>
        </is>
      </c>
      <c r="C12" s="29" t="inlineStr">
        <is>
          <t>82.0–86.9°F</t>
        </is>
      </c>
      <c r="D12" s="37">
        <f>IFERROR(VLOOKUP(C12,Lists!$P$2:$Q$5,2,FALSE),0)</f>
        <v/>
      </c>
      <c r="E12" s="29" t="inlineStr"/>
      <c r="F12" s="37">
        <f>IFERROR(VLOOKUP(E12,Lists!$S$2:$T$5,2,FALSE),0)</f>
        <v/>
      </c>
      <c r="G12" s="38">
        <f>IF(B12="WBGT",D12,IF(B12="Heat Index",F12,0))</f>
        <v/>
      </c>
      <c r="H12" s="29" t="inlineStr">
        <is>
          <t>&lt;20 mph</t>
        </is>
      </c>
      <c r="I12" s="37">
        <f>IFERROR(VLOOKUP(H12,Lists!$V$2:$W$5,2,FALSE),0)</f>
        <v/>
      </c>
      <c r="J12" s="31">
        <f>MIN(100,MAX(0,ROUND((G12*80+I12*20)/100,0)))</f>
        <v/>
      </c>
      <c r="K12" s="32">
        <f>IF(J12&lt;25,"Green — Normal Operations",IF(J12&lt;50,"Yellow — Elevated Caution",IF(J12&lt;75,"Amber — High Risk","Red — Severe Risk")))</f>
        <v/>
      </c>
      <c r="L12" s="31">
        <f>MIN(100,MAX(0,ROUND((G12*80+I12*20)/100,0)))</f>
        <v/>
      </c>
      <c r="M12" s="32">
        <f>IF(L12&lt;25,"Green — Normal Operations",IF(L12&lt;50,"Yellow — Elevated Caution",IF(L12&lt;75,"Amber — High Risk","Red — Severe Risk")))</f>
        <v/>
      </c>
      <c r="N12" s="31">
        <f>MIN(100,MAX(0,ROUND((G12*10+I12*10)/100,0)))</f>
        <v/>
      </c>
      <c r="O12" s="32">
        <f>IF(N12&lt;25,"Green — Normal Operations",IF(N12&lt;50,"Yellow — Elevated Caution",IF(N12&lt;75,"Amber — High Risk","Red — Severe Risk")))</f>
        <v/>
      </c>
      <c r="P12" s="33" t="n"/>
      <c r="Q12" s="34">
        <f>IF(P12="","",IF(P12=LEFT(K12,FIND(" ",K12)-1),"Match","Differs"))</f>
        <v/>
      </c>
      <c r="R12" s="33" t="n"/>
      <c r="S12" s="34">
        <f>IF(R12="","",IF(R12=LEFT(M12,FIND(" ",M12)-1),"Match","Differs"))</f>
        <v/>
      </c>
      <c r="T12" s="33" t="n"/>
      <c r="U12" s="34">
        <f>IF(T12="","",IF(T12=LEFT(O12,FIND(" ",O12)-1),"Match","Differs"))</f>
        <v/>
      </c>
      <c r="V12" s="35" t="n"/>
    </row>
    <row r="13">
      <c r="A13" s="28" t="inlineStr">
        <is>
          <t>WBGT high, gusty</t>
        </is>
      </c>
      <c r="B13" s="29" t="inlineStr">
        <is>
          <t>WBGT</t>
        </is>
      </c>
      <c r="C13" s="29" t="inlineStr">
        <is>
          <t>87.0–89.9°F</t>
        </is>
      </c>
      <c r="D13" s="37">
        <f>IFERROR(VLOOKUP(C13,Lists!$P$2:$Q$5,2,FALSE),0)</f>
        <v/>
      </c>
      <c r="E13" s="29" t="inlineStr"/>
      <c r="F13" s="37">
        <f>IFERROR(VLOOKUP(E13,Lists!$S$2:$T$5,2,FALSE),0)</f>
        <v/>
      </c>
      <c r="G13" s="38">
        <f>IF(B13="WBGT",D13,IF(B13="Heat Index",F13,0))</f>
        <v/>
      </c>
      <c r="H13" s="29" t="inlineStr">
        <is>
          <t>30–40 mph</t>
        </is>
      </c>
      <c r="I13" s="37">
        <f>IFERROR(VLOOKUP(H13,Lists!$V$2:$W$5,2,FALSE),0)</f>
        <v/>
      </c>
      <c r="J13" s="31">
        <f>MIN(100,MAX(0,ROUND((G13*80+I13*20)/100,0)))</f>
        <v/>
      </c>
      <c r="K13" s="32">
        <f>IF(J13&lt;25,"Green — Normal Operations",IF(J13&lt;50,"Yellow — Elevated Caution",IF(J13&lt;75,"Amber — High Risk","Red — Severe Risk")))</f>
        <v/>
      </c>
      <c r="L13" s="31">
        <f>MIN(100,MAX(0,ROUND((G13*80+I13*20)/100,0)))</f>
        <v/>
      </c>
      <c r="M13" s="32">
        <f>IF(L13&lt;25,"Green — Normal Operations",IF(L13&lt;50,"Yellow — Elevated Caution",IF(L13&lt;75,"Amber — High Risk","Red — Severe Risk")))</f>
        <v/>
      </c>
      <c r="N13" s="31">
        <f>MIN(100,MAX(0,ROUND((G13*10+I13*10)/100,0)))</f>
        <v/>
      </c>
      <c r="O13" s="32">
        <f>IF(N13&lt;25,"Green — Normal Operations",IF(N13&lt;50,"Yellow — Elevated Caution",IF(N13&lt;75,"Amber — High Risk","Red — Severe Risk")))</f>
        <v/>
      </c>
      <c r="P13" s="33" t="n"/>
      <c r="Q13" s="34">
        <f>IF(P13="","",IF(P13=LEFT(K13,FIND(" ",K13)-1),"Match","Differs"))</f>
        <v/>
      </c>
      <c r="R13" s="33" t="n"/>
      <c r="S13" s="34">
        <f>IF(R13="","",IF(R13=LEFT(M13,FIND(" ",M13)-1),"Match","Differs"))</f>
        <v/>
      </c>
      <c r="T13" s="33" t="n"/>
      <c r="U13" s="34">
        <f>IF(T13="","",IF(T13=LEFT(O13,FIND(" ",O13)-1),"Match","Differs"))</f>
        <v/>
      </c>
      <c r="V13" s="35" t="n"/>
    </row>
    <row r="14">
      <c r="A14" s="28" t="inlineStr">
        <is>
          <t>Mild heat, strong sustained wind</t>
        </is>
      </c>
      <c r="B14" s="29" t="inlineStr">
        <is>
          <t>Heat Index</t>
        </is>
      </c>
      <c r="C14" s="29" t="inlineStr"/>
      <c r="D14" s="37">
        <f>IFERROR(VLOOKUP(C14,Lists!$P$2:$Q$5,2,FALSE),0)</f>
        <v/>
      </c>
      <c r="E14" s="29" t="inlineStr">
        <is>
          <t>&lt;90°F</t>
        </is>
      </c>
      <c r="F14" s="37">
        <f>IFERROR(VLOOKUP(E14,Lists!$S$2:$T$5,2,FALSE),0)</f>
        <v/>
      </c>
      <c r="G14" s="38">
        <f>IF(B14="WBGT",D14,IF(B14="Heat Index",F14,0))</f>
        <v/>
      </c>
      <c r="H14" s="29" t="inlineStr">
        <is>
          <t>&gt;40 mph</t>
        </is>
      </c>
      <c r="I14" s="37">
        <f>IFERROR(VLOOKUP(H14,Lists!$V$2:$W$5,2,FALSE),0)</f>
        <v/>
      </c>
      <c r="J14" s="31">
        <f>MIN(100,MAX(0,ROUND((G14*80+I14*20)/100,0)))</f>
        <v/>
      </c>
      <c r="K14" s="32">
        <f>IF(J14&lt;25,"Green — Normal Operations",IF(J14&lt;50,"Yellow — Elevated Caution",IF(J14&lt;75,"Amber — High Risk","Red — Severe Risk")))</f>
        <v/>
      </c>
      <c r="L14" s="31">
        <f>MIN(100,MAX(0,ROUND((G14*80+I14*20)/100,0)))</f>
        <v/>
      </c>
      <c r="M14" s="32">
        <f>IF(L14&lt;25,"Green — Normal Operations",IF(L14&lt;50,"Yellow — Elevated Caution",IF(L14&lt;75,"Amber — High Risk","Red — Severe Risk")))</f>
        <v/>
      </c>
      <c r="N14" s="31">
        <f>MIN(100,MAX(0,ROUND((G14*10+I14*10)/100,0)))</f>
        <v/>
      </c>
      <c r="O14" s="32">
        <f>IF(N14&lt;25,"Green — Normal Operations",IF(N14&lt;50,"Yellow — Elevated Caution",IF(N14&lt;75,"Amber — High Risk","Red — Severe Risk")))</f>
        <v/>
      </c>
      <c r="P14" s="33" t="n"/>
      <c r="Q14" s="34">
        <f>IF(P14="","",IF(P14=LEFT(K14,FIND(" ",K14)-1),"Match","Differs"))</f>
        <v/>
      </c>
      <c r="R14" s="33" t="n"/>
      <c r="S14" s="34">
        <f>IF(R14="","",IF(R14=LEFT(M14,FIND(" ",M14)-1),"Match","Differs"))</f>
        <v/>
      </c>
      <c r="T14" s="33" t="n"/>
      <c r="U14" s="34">
        <f>IF(T14="","",IF(T14=LEFT(O14,FIND(" ",O14)-1),"Match","Differs"))</f>
        <v/>
      </c>
      <c r="V14" s="35" t="n"/>
    </row>
    <row r="15">
      <c r="A15" s="28" t="inlineStr">
        <is>
          <t>Extreme heat + strong wind (roads ceiling)</t>
        </is>
      </c>
      <c r="B15" s="29" t="inlineStr">
        <is>
          <t>Heat Index</t>
        </is>
      </c>
      <c r="C15" s="29" t="inlineStr"/>
      <c r="D15" s="37">
        <f>IFERROR(VLOOKUP(C15,Lists!$P$2:$Q$5,2,FALSE),0)</f>
        <v/>
      </c>
      <c r="E15" s="29" t="inlineStr">
        <is>
          <t>&gt;108°F</t>
        </is>
      </c>
      <c r="F15" s="37">
        <f>IFERROR(VLOOKUP(E15,Lists!$S$2:$T$5,2,FALSE),0)</f>
        <v/>
      </c>
      <c r="G15" s="38">
        <f>IF(B15="WBGT",D15,IF(B15="Heat Index",F15,0))</f>
        <v/>
      </c>
      <c r="H15" s="29" t="inlineStr">
        <is>
          <t>&gt;40 mph</t>
        </is>
      </c>
      <c r="I15" s="37">
        <f>IFERROR(VLOOKUP(H15,Lists!$V$2:$W$5,2,FALSE),0)</f>
        <v/>
      </c>
      <c r="J15" s="31">
        <f>MIN(100,MAX(0,ROUND((G15*80+I15*20)/100,0)))</f>
        <v/>
      </c>
      <c r="K15" s="32">
        <f>IF(J15&lt;25,"Green — Normal Operations",IF(J15&lt;50,"Yellow — Elevated Caution",IF(J15&lt;75,"Amber — High Risk","Red — Severe Risk")))</f>
        <v/>
      </c>
      <c r="L15" s="31">
        <f>MIN(100,MAX(0,ROUND((G15*80+I15*20)/100,0)))</f>
        <v/>
      </c>
      <c r="M15" s="32">
        <f>IF(L15&lt;25,"Green — Normal Operations",IF(L15&lt;50,"Yellow — Elevated Caution",IF(L15&lt;75,"Amber — High Risk","Red — Severe Risk")))</f>
        <v/>
      </c>
      <c r="N15" s="31">
        <f>MIN(100,MAX(0,ROUND((G15*10+I15*10)/100,0)))</f>
        <v/>
      </c>
      <c r="O15" s="32">
        <f>IF(N15&lt;25,"Green — Normal Operations",IF(N15&lt;50,"Yellow — Elevated Caution",IF(N15&lt;75,"Amber — High Risk","Red — Severe Risk")))</f>
        <v/>
      </c>
      <c r="P15" s="33" t="n"/>
      <c r="Q15" s="34">
        <f>IF(P15="","",IF(P15=LEFT(K15,FIND(" ",K15)-1),"Match","Differs"))</f>
        <v/>
      </c>
      <c r="R15" s="33" t="n"/>
      <c r="S15" s="34">
        <f>IF(R15="","",IF(R15=LEFT(M15,FIND(" ",M15)-1),"Match","Differs"))</f>
        <v/>
      </c>
      <c r="T15" s="33" t="n"/>
      <c r="U15" s="34">
        <f>IF(T15="","",IF(T15=LEFT(O15,FIND(" ",O15)-1),"Match","Differs"))</f>
        <v/>
      </c>
      <c r="V15" s="35" t="n"/>
    </row>
  </sheetData>
  <mergeCells count="3">
    <mergeCell ref="A2:V2"/>
    <mergeCell ref="A1:V1"/>
    <mergeCell ref="A3:V3"/>
  </mergeCells>
  <conditionalFormatting sqref="K6">
    <cfRule type="expression" priority="1" dxfId="12">
      <formula>ISNUMBER(SEARCH("Green",K6))</formula>
    </cfRule>
    <cfRule type="expression" priority="2" dxfId="13">
      <formula>ISNUMBER(SEARCH("Yellow",K6))</formula>
    </cfRule>
    <cfRule type="expression" priority="3" dxfId="14">
      <formula>ISNUMBER(SEARCH("Amber",K6))</formula>
    </cfRule>
    <cfRule type="expression" priority="4" dxfId="15">
      <formula>ISNUMBER(SEARCH("Red",K6))</formula>
    </cfRule>
  </conditionalFormatting>
  <conditionalFormatting sqref="M6">
    <cfRule type="expression" priority="5" dxfId="12">
      <formula>ISNUMBER(SEARCH("Green",M6))</formula>
    </cfRule>
    <cfRule type="expression" priority="6" dxfId="13">
      <formula>ISNUMBER(SEARCH("Yellow",M6))</formula>
    </cfRule>
    <cfRule type="expression" priority="7" dxfId="14">
      <formula>ISNUMBER(SEARCH("Amber",M6))</formula>
    </cfRule>
    <cfRule type="expression" priority="8" dxfId="15">
      <formula>ISNUMBER(SEARCH("Red",M6))</formula>
    </cfRule>
  </conditionalFormatting>
  <conditionalFormatting sqref="O6">
    <cfRule type="expression" priority="9" dxfId="12">
      <formula>ISNUMBER(SEARCH("Green",O6))</formula>
    </cfRule>
    <cfRule type="expression" priority="10" dxfId="13">
      <formula>ISNUMBER(SEARCH("Yellow",O6))</formula>
    </cfRule>
    <cfRule type="expression" priority="11" dxfId="14">
      <formula>ISNUMBER(SEARCH("Amber",O6))</formula>
    </cfRule>
    <cfRule type="expression" priority="12" dxfId="15">
      <formula>ISNUMBER(SEARCH("Red",O6))</formula>
    </cfRule>
  </conditionalFormatting>
  <conditionalFormatting sqref="Q6">
    <cfRule type="expression" priority="13" dxfId="12">
      <formula>Q6="Match"</formula>
    </cfRule>
    <cfRule type="expression" priority="14" dxfId="15">
      <formula>Q6="Differs"</formula>
    </cfRule>
  </conditionalFormatting>
  <conditionalFormatting sqref="S6">
    <cfRule type="expression" priority="15" dxfId="12">
      <formula>S6="Match"</formula>
    </cfRule>
    <cfRule type="expression" priority="16" dxfId="15">
      <formula>S6="Differs"</formula>
    </cfRule>
  </conditionalFormatting>
  <conditionalFormatting sqref="U6">
    <cfRule type="expression" priority="17" dxfId="12">
      <formula>U6="Match"</formula>
    </cfRule>
    <cfRule type="expression" priority="18" dxfId="15">
      <formula>U6="Differs"</formula>
    </cfRule>
  </conditionalFormatting>
  <conditionalFormatting sqref="K7">
    <cfRule type="expression" priority="19" dxfId="12">
      <formula>ISNUMBER(SEARCH("Green",K7))</formula>
    </cfRule>
    <cfRule type="expression" priority="20" dxfId="13">
      <formula>ISNUMBER(SEARCH("Yellow",K7))</formula>
    </cfRule>
    <cfRule type="expression" priority="21" dxfId="14">
      <formula>ISNUMBER(SEARCH("Amber",K7))</formula>
    </cfRule>
    <cfRule type="expression" priority="22" dxfId="15">
      <formula>ISNUMBER(SEARCH("Red",K7))</formula>
    </cfRule>
  </conditionalFormatting>
  <conditionalFormatting sqref="M7">
    <cfRule type="expression" priority="23" dxfId="12">
      <formula>ISNUMBER(SEARCH("Green",M7))</formula>
    </cfRule>
    <cfRule type="expression" priority="24" dxfId="13">
      <formula>ISNUMBER(SEARCH("Yellow",M7))</formula>
    </cfRule>
    <cfRule type="expression" priority="25" dxfId="14">
      <formula>ISNUMBER(SEARCH("Amber",M7))</formula>
    </cfRule>
    <cfRule type="expression" priority="26" dxfId="15">
      <formula>ISNUMBER(SEARCH("Red",M7))</formula>
    </cfRule>
  </conditionalFormatting>
  <conditionalFormatting sqref="O7">
    <cfRule type="expression" priority="27" dxfId="12">
      <formula>ISNUMBER(SEARCH("Green",O7))</formula>
    </cfRule>
    <cfRule type="expression" priority="28" dxfId="13">
      <formula>ISNUMBER(SEARCH("Yellow",O7))</formula>
    </cfRule>
    <cfRule type="expression" priority="29" dxfId="14">
      <formula>ISNUMBER(SEARCH("Amber",O7))</formula>
    </cfRule>
    <cfRule type="expression" priority="30" dxfId="15">
      <formula>ISNUMBER(SEARCH("Red",O7))</formula>
    </cfRule>
  </conditionalFormatting>
  <conditionalFormatting sqref="Q7">
    <cfRule type="expression" priority="31" dxfId="12">
      <formula>Q7="Match"</formula>
    </cfRule>
    <cfRule type="expression" priority="32" dxfId="15">
      <formula>Q7="Differs"</formula>
    </cfRule>
  </conditionalFormatting>
  <conditionalFormatting sqref="S7">
    <cfRule type="expression" priority="33" dxfId="12">
      <formula>S7="Match"</formula>
    </cfRule>
    <cfRule type="expression" priority="34" dxfId="15">
      <formula>S7="Differs"</formula>
    </cfRule>
  </conditionalFormatting>
  <conditionalFormatting sqref="U7">
    <cfRule type="expression" priority="35" dxfId="12">
      <formula>U7="Match"</formula>
    </cfRule>
    <cfRule type="expression" priority="36" dxfId="15">
      <formula>U7="Differs"</formula>
    </cfRule>
  </conditionalFormatting>
  <conditionalFormatting sqref="K8">
    <cfRule type="expression" priority="37" dxfId="12">
      <formula>ISNUMBER(SEARCH("Green",K8))</formula>
    </cfRule>
    <cfRule type="expression" priority="38" dxfId="13">
      <formula>ISNUMBER(SEARCH("Yellow",K8))</formula>
    </cfRule>
    <cfRule type="expression" priority="39" dxfId="14">
      <formula>ISNUMBER(SEARCH("Amber",K8))</formula>
    </cfRule>
    <cfRule type="expression" priority="40" dxfId="15">
      <formula>ISNUMBER(SEARCH("Red",K8))</formula>
    </cfRule>
  </conditionalFormatting>
  <conditionalFormatting sqref="M8">
    <cfRule type="expression" priority="41" dxfId="12">
      <formula>ISNUMBER(SEARCH("Green",M8))</formula>
    </cfRule>
    <cfRule type="expression" priority="42" dxfId="13">
      <formula>ISNUMBER(SEARCH("Yellow",M8))</formula>
    </cfRule>
    <cfRule type="expression" priority="43" dxfId="14">
      <formula>ISNUMBER(SEARCH("Amber",M8))</formula>
    </cfRule>
    <cfRule type="expression" priority="44" dxfId="15">
      <formula>ISNUMBER(SEARCH("Red",M8))</formula>
    </cfRule>
  </conditionalFormatting>
  <conditionalFormatting sqref="O8">
    <cfRule type="expression" priority="45" dxfId="12">
      <formula>ISNUMBER(SEARCH("Green",O8))</formula>
    </cfRule>
    <cfRule type="expression" priority="46" dxfId="13">
      <formula>ISNUMBER(SEARCH("Yellow",O8))</formula>
    </cfRule>
    <cfRule type="expression" priority="47" dxfId="14">
      <formula>ISNUMBER(SEARCH("Amber",O8))</formula>
    </cfRule>
    <cfRule type="expression" priority="48" dxfId="15">
      <formula>ISNUMBER(SEARCH("Red",O8))</formula>
    </cfRule>
  </conditionalFormatting>
  <conditionalFormatting sqref="Q8">
    <cfRule type="expression" priority="49" dxfId="12">
      <formula>Q8="Match"</formula>
    </cfRule>
    <cfRule type="expression" priority="50" dxfId="15">
      <formula>Q8="Differs"</formula>
    </cfRule>
  </conditionalFormatting>
  <conditionalFormatting sqref="S8">
    <cfRule type="expression" priority="51" dxfId="12">
      <formula>S8="Match"</formula>
    </cfRule>
    <cfRule type="expression" priority="52" dxfId="15">
      <formula>S8="Differs"</formula>
    </cfRule>
  </conditionalFormatting>
  <conditionalFormatting sqref="U8">
    <cfRule type="expression" priority="53" dxfId="12">
      <formula>U8="Match"</formula>
    </cfRule>
    <cfRule type="expression" priority="54" dxfId="15">
      <formula>U8="Differs"</formula>
    </cfRule>
  </conditionalFormatting>
  <conditionalFormatting sqref="K9">
    <cfRule type="expression" priority="55" dxfId="12">
      <formula>ISNUMBER(SEARCH("Green",K9))</formula>
    </cfRule>
    <cfRule type="expression" priority="56" dxfId="13">
      <formula>ISNUMBER(SEARCH("Yellow",K9))</formula>
    </cfRule>
    <cfRule type="expression" priority="57" dxfId="14">
      <formula>ISNUMBER(SEARCH("Amber",K9))</formula>
    </cfRule>
    <cfRule type="expression" priority="58" dxfId="15">
      <formula>ISNUMBER(SEARCH("Red",K9))</formula>
    </cfRule>
  </conditionalFormatting>
  <conditionalFormatting sqref="M9">
    <cfRule type="expression" priority="59" dxfId="12">
      <formula>ISNUMBER(SEARCH("Green",M9))</formula>
    </cfRule>
    <cfRule type="expression" priority="60" dxfId="13">
      <formula>ISNUMBER(SEARCH("Yellow",M9))</formula>
    </cfRule>
    <cfRule type="expression" priority="61" dxfId="14">
      <formula>ISNUMBER(SEARCH("Amber",M9))</formula>
    </cfRule>
    <cfRule type="expression" priority="62" dxfId="15">
      <formula>ISNUMBER(SEARCH("Red",M9))</formula>
    </cfRule>
  </conditionalFormatting>
  <conditionalFormatting sqref="O9">
    <cfRule type="expression" priority="63" dxfId="12">
      <formula>ISNUMBER(SEARCH("Green",O9))</formula>
    </cfRule>
    <cfRule type="expression" priority="64" dxfId="13">
      <formula>ISNUMBER(SEARCH("Yellow",O9))</formula>
    </cfRule>
    <cfRule type="expression" priority="65" dxfId="14">
      <formula>ISNUMBER(SEARCH("Amber",O9))</formula>
    </cfRule>
    <cfRule type="expression" priority="66" dxfId="15">
      <formula>ISNUMBER(SEARCH("Red",O9))</formula>
    </cfRule>
  </conditionalFormatting>
  <conditionalFormatting sqref="Q9">
    <cfRule type="expression" priority="67" dxfId="12">
      <formula>Q9="Match"</formula>
    </cfRule>
    <cfRule type="expression" priority="68" dxfId="15">
      <formula>Q9="Differs"</formula>
    </cfRule>
  </conditionalFormatting>
  <conditionalFormatting sqref="S9">
    <cfRule type="expression" priority="69" dxfId="12">
      <formula>S9="Match"</formula>
    </cfRule>
    <cfRule type="expression" priority="70" dxfId="15">
      <formula>S9="Differs"</formula>
    </cfRule>
  </conditionalFormatting>
  <conditionalFormatting sqref="U9">
    <cfRule type="expression" priority="71" dxfId="12">
      <formula>U9="Match"</formula>
    </cfRule>
    <cfRule type="expression" priority="72" dxfId="15">
      <formula>U9="Differs"</formula>
    </cfRule>
  </conditionalFormatting>
  <conditionalFormatting sqref="K10">
    <cfRule type="expression" priority="73" dxfId="12">
      <formula>ISNUMBER(SEARCH("Green",K10))</formula>
    </cfRule>
    <cfRule type="expression" priority="74" dxfId="13">
      <formula>ISNUMBER(SEARCH("Yellow",K10))</formula>
    </cfRule>
    <cfRule type="expression" priority="75" dxfId="14">
      <formula>ISNUMBER(SEARCH("Amber",K10))</formula>
    </cfRule>
    <cfRule type="expression" priority="76" dxfId="15">
      <formula>ISNUMBER(SEARCH("Red",K10))</formula>
    </cfRule>
  </conditionalFormatting>
  <conditionalFormatting sqref="M10">
    <cfRule type="expression" priority="77" dxfId="12">
      <formula>ISNUMBER(SEARCH("Green",M10))</formula>
    </cfRule>
    <cfRule type="expression" priority="78" dxfId="13">
      <formula>ISNUMBER(SEARCH("Yellow",M10))</formula>
    </cfRule>
    <cfRule type="expression" priority="79" dxfId="14">
      <formula>ISNUMBER(SEARCH("Amber",M10))</formula>
    </cfRule>
    <cfRule type="expression" priority="80" dxfId="15">
      <formula>ISNUMBER(SEARCH("Red",M10))</formula>
    </cfRule>
  </conditionalFormatting>
  <conditionalFormatting sqref="O10">
    <cfRule type="expression" priority="81" dxfId="12">
      <formula>ISNUMBER(SEARCH("Green",O10))</formula>
    </cfRule>
    <cfRule type="expression" priority="82" dxfId="13">
      <formula>ISNUMBER(SEARCH("Yellow",O10))</formula>
    </cfRule>
    <cfRule type="expression" priority="83" dxfId="14">
      <formula>ISNUMBER(SEARCH("Amber",O10))</formula>
    </cfRule>
    <cfRule type="expression" priority="84" dxfId="15">
      <formula>ISNUMBER(SEARCH("Red",O10))</formula>
    </cfRule>
  </conditionalFormatting>
  <conditionalFormatting sqref="Q10">
    <cfRule type="expression" priority="85" dxfId="12">
      <formula>Q10="Match"</formula>
    </cfRule>
    <cfRule type="expression" priority="86" dxfId="15">
      <formula>Q10="Differs"</formula>
    </cfRule>
  </conditionalFormatting>
  <conditionalFormatting sqref="S10">
    <cfRule type="expression" priority="87" dxfId="12">
      <formula>S10="Match"</formula>
    </cfRule>
    <cfRule type="expression" priority="88" dxfId="15">
      <formula>S10="Differs"</formula>
    </cfRule>
  </conditionalFormatting>
  <conditionalFormatting sqref="U10">
    <cfRule type="expression" priority="89" dxfId="12">
      <formula>U10="Match"</formula>
    </cfRule>
    <cfRule type="expression" priority="90" dxfId="15">
      <formula>U10="Differs"</formula>
    </cfRule>
  </conditionalFormatting>
  <conditionalFormatting sqref="K11">
    <cfRule type="expression" priority="91" dxfId="12">
      <formula>ISNUMBER(SEARCH("Green",K11))</formula>
    </cfRule>
    <cfRule type="expression" priority="92" dxfId="13">
      <formula>ISNUMBER(SEARCH("Yellow",K11))</formula>
    </cfRule>
    <cfRule type="expression" priority="93" dxfId="14">
      <formula>ISNUMBER(SEARCH("Amber",K11))</formula>
    </cfRule>
    <cfRule type="expression" priority="94" dxfId="15">
      <formula>ISNUMBER(SEARCH("Red",K11))</formula>
    </cfRule>
  </conditionalFormatting>
  <conditionalFormatting sqref="M11">
    <cfRule type="expression" priority="95" dxfId="12">
      <formula>ISNUMBER(SEARCH("Green",M11))</formula>
    </cfRule>
    <cfRule type="expression" priority="96" dxfId="13">
      <formula>ISNUMBER(SEARCH("Yellow",M11))</formula>
    </cfRule>
    <cfRule type="expression" priority="97" dxfId="14">
      <formula>ISNUMBER(SEARCH("Amber",M11))</formula>
    </cfRule>
    <cfRule type="expression" priority="98" dxfId="15">
      <formula>ISNUMBER(SEARCH("Red",M11))</formula>
    </cfRule>
  </conditionalFormatting>
  <conditionalFormatting sqref="O11">
    <cfRule type="expression" priority="99" dxfId="12">
      <formula>ISNUMBER(SEARCH("Green",O11))</formula>
    </cfRule>
    <cfRule type="expression" priority="100" dxfId="13">
      <formula>ISNUMBER(SEARCH("Yellow",O11))</formula>
    </cfRule>
    <cfRule type="expression" priority="101" dxfId="14">
      <formula>ISNUMBER(SEARCH("Amber",O11))</formula>
    </cfRule>
    <cfRule type="expression" priority="102" dxfId="15">
      <formula>ISNUMBER(SEARCH("Red",O11))</formula>
    </cfRule>
  </conditionalFormatting>
  <conditionalFormatting sqref="Q11">
    <cfRule type="expression" priority="103" dxfId="12">
      <formula>Q11="Match"</formula>
    </cfRule>
    <cfRule type="expression" priority="104" dxfId="15">
      <formula>Q11="Differs"</formula>
    </cfRule>
  </conditionalFormatting>
  <conditionalFormatting sqref="S11">
    <cfRule type="expression" priority="105" dxfId="12">
      <formula>S11="Match"</formula>
    </cfRule>
    <cfRule type="expression" priority="106" dxfId="15">
      <formula>S11="Differs"</formula>
    </cfRule>
  </conditionalFormatting>
  <conditionalFormatting sqref="U11">
    <cfRule type="expression" priority="107" dxfId="12">
      <formula>U11="Match"</formula>
    </cfRule>
    <cfRule type="expression" priority="108" dxfId="15">
      <formula>U11="Differs"</formula>
    </cfRule>
  </conditionalFormatting>
  <conditionalFormatting sqref="K12">
    <cfRule type="expression" priority="109" dxfId="12">
      <formula>ISNUMBER(SEARCH("Green",K12))</formula>
    </cfRule>
    <cfRule type="expression" priority="110" dxfId="13">
      <formula>ISNUMBER(SEARCH("Yellow",K12))</formula>
    </cfRule>
    <cfRule type="expression" priority="111" dxfId="14">
      <formula>ISNUMBER(SEARCH("Amber",K12))</formula>
    </cfRule>
    <cfRule type="expression" priority="112" dxfId="15">
      <formula>ISNUMBER(SEARCH("Red",K12))</formula>
    </cfRule>
  </conditionalFormatting>
  <conditionalFormatting sqref="M12">
    <cfRule type="expression" priority="113" dxfId="12">
      <formula>ISNUMBER(SEARCH("Green",M12))</formula>
    </cfRule>
    <cfRule type="expression" priority="114" dxfId="13">
      <formula>ISNUMBER(SEARCH("Yellow",M12))</formula>
    </cfRule>
    <cfRule type="expression" priority="115" dxfId="14">
      <formula>ISNUMBER(SEARCH("Amber",M12))</formula>
    </cfRule>
    <cfRule type="expression" priority="116" dxfId="15">
      <formula>ISNUMBER(SEARCH("Red",M12))</formula>
    </cfRule>
  </conditionalFormatting>
  <conditionalFormatting sqref="O12">
    <cfRule type="expression" priority="117" dxfId="12">
      <formula>ISNUMBER(SEARCH("Green",O12))</formula>
    </cfRule>
    <cfRule type="expression" priority="118" dxfId="13">
      <formula>ISNUMBER(SEARCH("Yellow",O12))</formula>
    </cfRule>
    <cfRule type="expression" priority="119" dxfId="14">
      <formula>ISNUMBER(SEARCH("Amber",O12))</formula>
    </cfRule>
    <cfRule type="expression" priority="120" dxfId="15">
      <formula>ISNUMBER(SEARCH("Red",O12))</formula>
    </cfRule>
  </conditionalFormatting>
  <conditionalFormatting sqref="Q12">
    <cfRule type="expression" priority="121" dxfId="12">
      <formula>Q12="Match"</formula>
    </cfRule>
    <cfRule type="expression" priority="122" dxfId="15">
      <formula>Q12="Differs"</formula>
    </cfRule>
  </conditionalFormatting>
  <conditionalFormatting sqref="S12">
    <cfRule type="expression" priority="123" dxfId="12">
      <formula>S12="Match"</formula>
    </cfRule>
    <cfRule type="expression" priority="124" dxfId="15">
      <formula>S12="Differs"</formula>
    </cfRule>
  </conditionalFormatting>
  <conditionalFormatting sqref="U12">
    <cfRule type="expression" priority="125" dxfId="12">
      <formula>U12="Match"</formula>
    </cfRule>
    <cfRule type="expression" priority="126" dxfId="15">
      <formula>U12="Differs"</formula>
    </cfRule>
  </conditionalFormatting>
  <conditionalFormatting sqref="K13">
    <cfRule type="expression" priority="127" dxfId="12">
      <formula>ISNUMBER(SEARCH("Green",K13))</formula>
    </cfRule>
    <cfRule type="expression" priority="128" dxfId="13">
      <formula>ISNUMBER(SEARCH("Yellow",K13))</formula>
    </cfRule>
    <cfRule type="expression" priority="129" dxfId="14">
      <formula>ISNUMBER(SEARCH("Amber",K13))</formula>
    </cfRule>
    <cfRule type="expression" priority="130" dxfId="15">
      <formula>ISNUMBER(SEARCH("Red",K13))</formula>
    </cfRule>
  </conditionalFormatting>
  <conditionalFormatting sqref="M13">
    <cfRule type="expression" priority="131" dxfId="12">
      <formula>ISNUMBER(SEARCH("Green",M13))</formula>
    </cfRule>
    <cfRule type="expression" priority="132" dxfId="13">
      <formula>ISNUMBER(SEARCH("Yellow",M13))</formula>
    </cfRule>
    <cfRule type="expression" priority="133" dxfId="14">
      <formula>ISNUMBER(SEARCH("Amber",M13))</formula>
    </cfRule>
    <cfRule type="expression" priority="134" dxfId="15">
      <formula>ISNUMBER(SEARCH("Red",M13))</formula>
    </cfRule>
  </conditionalFormatting>
  <conditionalFormatting sqref="O13">
    <cfRule type="expression" priority="135" dxfId="12">
      <formula>ISNUMBER(SEARCH("Green",O13))</formula>
    </cfRule>
    <cfRule type="expression" priority="136" dxfId="13">
      <formula>ISNUMBER(SEARCH("Yellow",O13))</formula>
    </cfRule>
    <cfRule type="expression" priority="137" dxfId="14">
      <formula>ISNUMBER(SEARCH("Amber",O13))</formula>
    </cfRule>
    <cfRule type="expression" priority="138" dxfId="15">
      <formula>ISNUMBER(SEARCH("Red",O13))</formula>
    </cfRule>
  </conditionalFormatting>
  <conditionalFormatting sqref="Q13">
    <cfRule type="expression" priority="139" dxfId="12">
      <formula>Q13="Match"</formula>
    </cfRule>
    <cfRule type="expression" priority="140" dxfId="15">
      <formula>Q13="Differs"</formula>
    </cfRule>
  </conditionalFormatting>
  <conditionalFormatting sqref="S13">
    <cfRule type="expression" priority="141" dxfId="12">
      <formula>S13="Match"</formula>
    </cfRule>
    <cfRule type="expression" priority="142" dxfId="15">
      <formula>S13="Differs"</formula>
    </cfRule>
  </conditionalFormatting>
  <conditionalFormatting sqref="U13">
    <cfRule type="expression" priority="143" dxfId="12">
      <formula>U13="Match"</formula>
    </cfRule>
    <cfRule type="expression" priority="144" dxfId="15">
      <formula>U13="Differs"</formula>
    </cfRule>
  </conditionalFormatting>
  <conditionalFormatting sqref="K14">
    <cfRule type="expression" priority="145" dxfId="12">
      <formula>ISNUMBER(SEARCH("Green",K14))</formula>
    </cfRule>
    <cfRule type="expression" priority="146" dxfId="13">
      <formula>ISNUMBER(SEARCH("Yellow",K14))</formula>
    </cfRule>
    <cfRule type="expression" priority="147" dxfId="14">
      <formula>ISNUMBER(SEARCH("Amber",K14))</formula>
    </cfRule>
    <cfRule type="expression" priority="148" dxfId="15">
      <formula>ISNUMBER(SEARCH("Red",K14))</formula>
    </cfRule>
  </conditionalFormatting>
  <conditionalFormatting sqref="M14">
    <cfRule type="expression" priority="149" dxfId="12">
      <formula>ISNUMBER(SEARCH("Green",M14))</formula>
    </cfRule>
    <cfRule type="expression" priority="150" dxfId="13">
      <formula>ISNUMBER(SEARCH("Yellow",M14))</formula>
    </cfRule>
    <cfRule type="expression" priority="151" dxfId="14">
      <formula>ISNUMBER(SEARCH("Amber",M14))</formula>
    </cfRule>
    <cfRule type="expression" priority="152" dxfId="15">
      <formula>ISNUMBER(SEARCH("Red",M14))</formula>
    </cfRule>
  </conditionalFormatting>
  <conditionalFormatting sqref="O14">
    <cfRule type="expression" priority="153" dxfId="12">
      <formula>ISNUMBER(SEARCH("Green",O14))</formula>
    </cfRule>
    <cfRule type="expression" priority="154" dxfId="13">
      <formula>ISNUMBER(SEARCH("Yellow",O14))</formula>
    </cfRule>
    <cfRule type="expression" priority="155" dxfId="14">
      <formula>ISNUMBER(SEARCH("Amber",O14))</formula>
    </cfRule>
    <cfRule type="expression" priority="156" dxfId="15">
      <formula>ISNUMBER(SEARCH("Red",O14))</formula>
    </cfRule>
  </conditionalFormatting>
  <conditionalFormatting sqref="Q14">
    <cfRule type="expression" priority="157" dxfId="12">
      <formula>Q14="Match"</formula>
    </cfRule>
    <cfRule type="expression" priority="158" dxfId="15">
      <formula>Q14="Differs"</formula>
    </cfRule>
  </conditionalFormatting>
  <conditionalFormatting sqref="S14">
    <cfRule type="expression" priority="159" dxfId="12">
      <formula>S14="Match"</formula>
    </cfRule>
    <cfRule type="expression" priority="160" dxfId="15">
      <formula>S14="Differs"</formula>
    </cfRule>
  </conditionalFormatting>
  <conditionalFormatting sqref="U14">
    <cfRule type="expression" priority="161" dxfId="12">
      <formula>U14="Match"</formula>
    </cfRule>
    <cfRule type="expression" priority="162" dxfId="15">
      <formula>U14="Differs"</formula>
    </cfRule>
  </conditionalFormatting>
  <conditionalFormatting sqref="K15">
    <cfRule type="expression" priority="163" dxfId="12">
      <formula>ISNUMBER(SEARCH("Green",K15))</formula>
    </cfRule>
    <cfRule type="expression" priority="164" dxfId="13">
      <formula>ISNUMBER(SEARCH("Yellow",K15))</formula>
    </cfRule>
    <cfRule type="expression" priority="165" dxfId="14">
      <formula>ISNUMBER(SEARCH("Amber",K15))</formula>
    </cfRule>
    <cfRule type="expression" priority="166" dxfId="15">
      <formula>ISNUMBER(SEARCH("Red",K15))</formula>
    </cfRule>
  </conditionalFormatting>
  <conditionalFormatting sqref="M15">
    <cfRule type="expression" priority="167" dxfId="12">
      <formula>ISNUMBER(SEARCH("Green",M15))</formula>
    </cfRule>
    <cfRule type="expression" priority="168" dxfId="13">
      <formula>ISNUMBER(SEARCH("Yellow",M15))</formula>
    </cfRule>
    <cfRule type="expression" priority="169" dxfId="14">
      <formula>ISNUMBER(SEARCH("Amber",M15))</formula>
    </cfRule>
    <cfRule type="expression" priority="170" dxfId="15">
      <formula>ISNUMBER(SEARCH("Red",M15))</formula>
    </cfRule>
  </conditionalFormatting>
  <conditionalFormatting sqref="O15">
    <cfRule type="expression" priority="171" dxfId="12">
      <formula>ISNUMBER(SEARCH("Green",O15))</formula>
    </cfRule>
    <cfRule type="expression" priority="172" dxfId="13">
      <formula>ISNUMBER(SEARCH("Yellow",O15))</formula>
    </cfRule>
    <cfRule type="expression" priority="173" dxfId="14">
      <formula>ISNUMBER(SEARCH("Amber",O15))</formula>
    </cfRule>
    <cfRule type="expression" priority="174" dxfId="15">
      <formula>ISNUMBER(SEARCH("Red",O15))</formula>
    </cfRule>
  </conditionalFormatting>
  <conditionalFormatting sqref="Q15">
    <cfRule type="expression" priority="175" dxfId="12">
      <formula>Q15="Match"</formula>
    </cfRule>
    <cfRule type="expression" priority="176" dxfId="15">
      <formula>Q15="Differs"</formula>
    </cfRule>
  </conditionalFormatting>
  <conditionalFormatting sqref="S15">
    <cfRule type="expression" priority="177" dxfId="12">
      <formula>S15="Match"</formula>
    </cfRule>
    <cfRule type="expression" priority="178" dxfId="15">
      <formula>S15="Differs"</formula>
    </cfRule>
  </conditionalFormatting>
  <conditionalFormatting sqref="U15">
    <cfRule type="expression" priority="179" dxfId="12">
      <formula>U15="Match"</formula>
    </cfRule>
    <cfRule type="expression" priority="180" dxfId="15">
      <formula>U15="Differs"</formula>
    </cfRule>
  </conditionalFormatting>
  <dataValidations count="70">
    <dataValidation sqref="B6" showDropDown="0" showInputMessage="0" showErrorMessage="0" allowBlank="1" type="list">
      <formula1>"WBGT,Heat Index"</formula1>
    </dataValidation>
    <dataValidation sqref="C6" showDropDown="0" showInputMessage="0" showErrorMessage="0" allowBlank="1" type="list">
      <formula1>Lists!$P$2:$P$5</formula1>
    </dataValidation>
    <dataValidation sqref="E6" showDropDown="0" showInputMessage="0" showErrorMessage="0" allowBlank="1" type="list">
      <formula1>Lists!$S$2:$S$5</formula1>
    </dataValidation>
    <dataValidation sqref="H6" showDropDown="0" showInputMessage="0" showErrorMessage="0" allowBlank="1" type="list">
      <formula1>Lists!$V$2:$V$5</formula1>
    </dataValidation>
    <dataValidation sqref="P6" showDropDown="0" showInputMessage="0" showErrorMessage="0" allowBlank="1" type="list">
      <formula1>"Green,Yellow,Amber,Red"</formula1>
    </dataValidation>
    <dataValidation sqref="R6" showDropDown="0" showInputMessage="0" showErrorMessage="0" allowBlank="1" type="list">
      <formula1>"Green,Yellow,Amber,Red"</formula1>
    </dataValidation>
    <dataValidation sqref="T6" showDropDown="0" showInputMessage="0" showErrorMessage="0" allowBlank="1" type="list">
      <formula1>"Green,Yellow,Amber,Red"</formula1>
    </dataValidation>
    <dataValidation sqref="B7" showDropDown="0" showInputMessage="0" showErrorMessage="0" allowBlank="1" type="list">
      <formula1>"WBGT,Heat Index"</formula1>
    </dataValidation>
    <dataValidation sqref="C7" showDropDown="0" showInputMessage="0" showErrorMessage="0" allowBlank="1" type="list">
      <formula1>Lists!$P$2:$P$5</formula1>
    </dataValidation>
    <dataValidation sqref="E7" showDropDown="0" showInputMessage="0" showErrorMessage="0" allowBlank="1" type="list">
      <formula1>Lists!$S$2:$S$5</formula1>
    </dataValidation>
    <dataValidation sqref="H7" showDropDown="0" showInputMessage="0" showErrorMessage="0" allowBlank="1" type="list">
      <formula1>Lists!$V$2:$V$5</formula1>
    </dataValidation>
    <dataValidation sqref="P7" showDropDown="0" showInputMessage="0" showErrorMessage="0" allowBlank="1" type="list">
      <formula1>"Green,Yellow,Amber,Red"</formula1>
    </dataValidation>
    <dataValidation sqref="R7" showDropDown="0" showInputMessage="0" showErrorMessage="0" allowBlank="1" type="list">
      <formula1>"Green,Yellow,Amber,Red"</formula1>
    </dataValidation>
    <dataValidation sqref="T7" showDropDown="0" showInputMessage="0" showErrorMessage="0" allowBlank="1" type="list">
      <formula1>"Green,Yellow,Amber,Red"</formula1>
    </dataValidation>
    <dataValidation sqref="B8" showDropDown="0" showInputMessage="0" showErrorMessage="0" allowBlank="1" type="list">
      <formula1>"WBGT,Heat Index"</formula1>
    </dataValidation>
    <dataValidation sqref="C8" showDropDown="0" showInputMessage="0" showErrorMessage="0" allowBlank="1" type="list">
      <formula1>Lists!$P$2:$P$5</formula1>
    </dataValidation>
    <dataValidation sqref="E8" showDropDown="0" showInputMessage="0" showErrorMessage="0" allowBlank="1" type="list">
      <formula1>Lists!$S$2:$S$5</formula1>
    </dataValidation>
    <dataValidation sqref="H8" showDropDown="0" showInputMessage="0" showErrorMessage="0" allowBlank="1" type="list">
      <formula1>Lists!$V$2:$V$5</formula1>
    </dataValidation>
    <dataValidation sqref="P8" showDropDown="0" showInputMessage="0" showErrorMessage="0" allowBlank="1" type="list">
      <formula1>"Green,Yellow,Amber,Red"</formula1>
    </dataValidation>
    <dataValidation sqref="R8" showDropDown="0" showInputMessage="0" showErrorMessage="0" allowBlank="1" type="list">
      <formula1>"Green,Yellow,Amber,Red"</formula1>
    </dataValidation>
    <dataValidation sqref="T8" showDropDown="0" showInputMessage="0" showErrorMessage="0" allowBlank="1" type="list">
      <formula1>"Green,Yellow,Amber,Red"</formula1>
    </dataValidation>
    <dataValidation sqref="B9" showDropDown="0" showInputMessage="0" showErrorMessage="0" allowBlank="1" type="list">
      <formula1>"WBGT,Heat Index"</formula1>
    </dataValidation>
    <dataValidation sqref="C9" showDropDown="0" showInputMessage="0" showErrorMessage="0" allowBlank="1" type="list">
      <formula1>Lists!$P$2:$P$5</formula1>
    </dataValidation>
    <dataValidation sqref="E9" showDropDown="0" showInputMessage="0" showErrorMessage="0" allowBlank="1" type="list">
      <formula1>Lists!$S$2:$S$5</formula1>
    </dataValidation>
    <dataValidation sqref="H9" showDropDown="0" showInputMessage="0" showErrorMessage="0" allowBlank="1" type="list">
      <formula1>Lists!$V$2:$V$5</formula1>
    </dataValidation>
    <dataValidation sqref="P9" showDropDown="0" showInputMessage="0" showErrorMessage="0" allowBlank="1" type="list">
      <formula1>"Green,Yellow,Amber,Red"</formula1>
    </dataValidation>
    <dataValidation sqref="R9" showDropDown="0" showInputMessage="0" showErrorMessage="0" allowBlank="1" type="list">
      <formula1>"Green,Yellow,Amber,Red"</formula1>
    </dataValidation>
    <dataValidation sqref="T9" showDropDown="0" showInputMessage="0" showErrorMessage="0" allowBlank="1" type="list">
      <formula1>"Green,Yellow,Amber,Red"</formula1>
    </dataValidation>
    <dataValidation sqref="B10" showDropDown="0" showInputMessage="0" showErrorMessage="0" allowBlank="1" type="list">
      <formula1>"WBGT,Heat Index"</formula1>
    </dataValidation>
    <dataValidation sqref="C10" showDropDown="0" showInputMessage="0" showErrorMessage="0" allowBlank="1" type="list">
      <formula1>Lists!$P$2:$P$5</formula1>
    </dataValidation>
    <dataValidation sqref="E10" showDropDown="0" showInputMessage="0" showErrorMessage="0" allowBlank="1" type="list">
      <formula1>Lists!$S$2:$S$5</formula1>
    </dataValidation>
    <dataValidation sqref="H10" showDropDown="0" showInputMessage="0" showErrorMessage="0" allowBlank="1" type="list">
      <formula1>Lists!$V$2:$V$5</formula1>
    </dataValidation>
    <dataValidation sqref="P10" showDropDown="0" showInputMessage="0" showErrorMessage="0" allowBlank="1" type="list">
      <formula1>"Green,Yellow,Amber,Red"</formula1>
    </dataValidation>
    <dataValidation sqref="R10" showDropDown="0" showInputMessage="0" showErrorMessage="0" allowBlank="1" type="list">
      <formula1>"Green,Yellow,Amber,Red"</formula1>
    </dataValidation>
    <dataValidation sqref="T10" showDropDown="0" showInputMessage="0" showErrorMessage="0" allowBlank="1" type="list">
      <formula1>"Green,Yellow,Amber,Red"</formula1>
    </dataValidation>
    <dataValidation sqref="B11" showDropDown="0" showInputMessage="0" showErrorMessage="0" allowBlank="1" type="list">
      <formula1>"WBGT,Heat Index"</formula1>
    </dataValidation>
    <dataValidation sqref="C11" showDropDown="0" showInputMessage="0" showErrorMessage="0" allowBlank="1" type="list">
      <formula1>Lists!$P$2:$P$5</formula1>
    </dataValidation>
    <dataValidation sqref="E11" showDropDown="0" showInputMessage="0" showErrorMessage="0" allowBlank="1" type="list">
      <formula1>Lists!$S$2:$S$5</formula1>
    </dataValidation>
    <dataValidation sqref="H11" showDropDown="0" showInputMessage="0" showErrorMessage="0" allowBlank="1" type="list">
      <formula1>Lists!$V$2:$V$5</formula1>
    </dataValidation>
    <dataValidation sqref="P11" showDropDown="0" showInputMessage="0" showErrorMessage="0" allowBlank="1" type="list">
      <formula1>"Green,Yellow,Amber,Red"</formula1>
    </dataValidation>
    <dataValidation sqref="R11" showDropDown="0" showInputMessage="0" showErrorMessage="0" allowBlank="1" type="list">
      <formula1>"Green,Yellow,Amber,Red"</formula1>
    </dataValidation>
    <dataValidation sqref="T11" showDropDown="0" showInputMessage="0" showErrorMessage="0" allowBlank="1" type="list">
      <formula1>"Green,Yellow,Amber,Red"</formula1>
    </dataValidation>
    <dataValidation sqref="B12" showDropDown="0" showInputMessage="0" showErrorMessage="0" allowBlank="1" type="list">
      <formula1>"WBGT,Heat Index"</formula1>
    </dataValidation>
    <dataValidation sqref="C12" showDropDown="0" showInputMessage="0" showErrorMessage="0" allowBlank="1" type="list">
      <formula1>Lists!$P$2:$P$5</formula1>
    </dataValidation>
    <dataValidation sqref="E12" showDropDown="0" showInputMessage="0" showErrorMessage="0" allowBlank="1" type="list">
      <formula1>Lists!$S$2:$S$5</formula1>
    </dataValidation>
    <dataValidation sqref="H12" showDropDown="0" showInputMessage="0" showErrorMessage="0" allowBlank="1" type="list">
      <formula1>Lists!$V$2:$V$5</formula1>
    </dataValidation>
    <dataValidation sqref="P12" showDropDown="0" showInputMessage="0" showErrorMessage="0" allowBlank="1" type="list">
      <formula1>"Green,Yellow,Amber,Red"</formula1>
    </dataValidation>
    <dataValidation sqref="R12" showDropDown="0" showInputMessage="0" showErrorMessage="0" allowBlank="1" type="list">
      <formula1>"Green,Yellow,Amber,Red"</formula1>
    </dataValidation>
    <dataValidation sqref="T12" showDropDown="0" showInputMessage="0" showErrorMessage="0" allowBlank="1" type="list">
      <formula1>"Green,Yellow,Amber,Red"</formula1>
    </dataValidation>
    <dataValidation sqref="B13" showDropDown="0" showInputMessage="0" showErrorMessage="0" allowBlank="1" type="list">
      <formula1>"WBGT,Heat Index"</formula1>
    </dataValidation>
    <dataValidation sqref="C13" showDropDown="0" showInputMessage="0" showErrorMessage="0" allowBlank="1" type="list">
      <formula1>Lists!$P$2:$P$5</formula1>
    </dataValidation>
    <dataValidation sqref="E13" showDropDown="0" showInputMessage="0" showErrorMessage="0" allowBlank="1" type="list">
      <formula1>Lists!$S$2:$S$5</formula1>
    </dataValidation>
    <dataValidation sqref="H13" showDropDown="0" showInputMessage="0" showErrorMessage="0" allowBlank="1" type="list">
      <formula1>Lists!$V$2:$V$5</formula1>
    </dataValidation>
    <dataValidation sqref="P13" showDropDown="0" showInputMessage="0" showErrorMessage="0" allowBlank="1" type="list">
      <formula1>"Green,Yellow,Amber,Red"</formula1>
    </dataValidation>
    <dataValidation sqref="R13" showDropDown="0" showInputMessage="0" showErrorMessage="0" allowBlank="1" type="list">
      <formula1>"Green,Yellow,Amber,Red"</formula1>
    </dataValidation>
    <dataValidation sqref="T13" showDropDown="0" showInputMessage="0" showErrorMessage="0" allowBlank="1" type="list">
      <formula1>"Green,Yellow,Amber,Red"</formula1>
    </dataValidation>
    <dataValidation sqref="B14" showDropDown="0" showInputMessage="0" showErrorMessage="0" allowBlank="1" type="list">
      <formula1>"WBGT,Heat Index"</formula1>
    </dataValidation>
    <dataValidation sqref="C14" showDropDown="0" showInputMessage="0" showErrorMessage="0" allowBlank="1" type="list">
      <formula1>Lists!$P$2:$P$5</formula1>
    </dataValidation>
    <dataValidation sqref="E14" showDropDown="0" showInputMessage="0" showErrorMessage="0" allowBlank="1" type="list">
      <formula1>Lists!$S$2:$S$5</formula1>
    </dataValidation>
    <dataValidation sqref="H14" showDropDown="0" showInputMessage="0" showErrorMessage="0" allowBlank="1" type="list">
      <formula1>Lists!$V$2:$V$5</formula1>
    </dataValidation>
    <dataValidation sqref="P14" showDropDown="0" showInputMessage="0" showErrorMessage="0" allowBlank="1" type="list">
      <formula1>"Green,Yellow,Amber,Red"</formula1>
    </dataValidation>
    <dataValidation sqref="R14" showDropDown="0" showInputMessage="0" showErrorMessage="0" allowBlank="1" type="list">
      <formula1>"Green,Yellow,Amber,Red"</formula1>
    </dataValidation>
    <dataValidation sqref="T14" showDropDown="0" showInputMessage="0" showErrorMessage="0" allowBlank="1" type="list">
      <formula1>"Green,Yellow,Amber,Red"</formula1>
    </dataValidation>
    <dataValidation sqref="B15" showDropDown="0" showInputMessage="0" showErrorMessage="0" allowBlank="1" type="list">
      <formula1>"WBGT,Heat Index"</formula1>
    </dataValidation>
    <dataValidation sqref="C15" showDropDown="0" showInputMessage="0" showErrorMessage="0" allowBlank="1" type="list">
      <formula1>Lists!$P$2:$P$5</formula1>
    </dataValidation>
    <dataValidation sqref="E15" showDropDown="0" showInputMessage="0" showErrorMessage="0" allowBlank="1" type="list">
      <formula1>Lists!$S$2:$S$5</formula1>
    </dataValidation>
    <dataValidation sqref="H15" showDropDown="0" showInputMessage="0" showErrorMessage="0" allowBlank="1" type="list">
      <formula1>Lists!$V$2:$V$5</formula1>
    </dataValidation>
    <dataValidation sqref="P15" showDropDown="0" showInputMessage="0" showErrorMessage="0" allowBlank="1" type="list">
      <formula1>"Green,Yellow,Amber,Red"</formula1>
    </dataValidation>
    <dataValidation sqref="R15" showDropDown="0" showInputMessage="0" showErrorMessage="0" allowBlank="1" type="list">
      <formula1>"Green,Yellow,Amber,Red"</formula1>
    </dataValidation>
    <dataValidation sqref="T15" showDropDown="0" showInputMessage="0" showErrorMessage="0" allowBlank="1" type="list">
      <formula1>"Green,Yellow,Amber,Red"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DD3FC"/>
    <outlinePr summaryBelow="1" summaryRight="1"/>
    <pageSetUpPr/>
  </sheetPr>
  <dimension ref="A1:I14"/>
  <sheetViews>
    <sheetView showGridLines="0" tabSelected="0" workbookViewId="0">
      <selection activeCell="A1" sqref="A1:H1"/>
    </sheetView>
  </sheetViews>
  <sheetFormatPr baseColWidth="10" defaultColWidth="8.83203125" defaultRowHeight="15"/>
  <cols>
    <col width="20" customWidth="1" style="22" min="1" max="1"/>
    <col width="26" customWidth="1" style="22" min="2" max="2"/>
    <col width="10" customWidth="1" style="22" min="3" max="3"/>
    <col width="13" customWidth="1" style="22" min="4" max="6"/>
    <col width="20" customWidth="1" style="22" min="7" max="9"/>
  </cols>
  <sheetData>
    <row r="1" ht="21" customHeight="1" s="22">
      <c r="A1" s="23" t="inlineStr">
        <is>
          <t>Kestrel — Winter Weather Scoring</t>
        </is>
      </c>
    </row>
    <row r="2">
      <c r="A2" s="21" t="inlineStr">
        <is>
          <t>Formula: Final Score = Σ(Raw Score × Weight) / 100, rounded, clamped to 0–100.</t>
        </is>
      </c>
    </row>
    <row r="4" ht="16" customHeight="1" s="22">
      <c r="A4" s="9" t="inlineStr">
        <is>
          <t>Input</t>
        </is>
      </c>
      <c r="B4" s="9" t="inlineStr">
        <is>
          <t>Condition (pick one)</t>
        </is>
      </c>
      <c r="C4" s="9" t="inlineStr">
        <is>
          <t>Raw Score</t>
        </is>
      </c>
      <c r="D4" s="9" t="inlineStr">
        <is>
          <t>Facility Wt %</t>
        </is>
      </c>
      <c r="E4" s="9" t="inlineStr">
        <is>
          <t>Outdoor Wt %</t>
        </is>
      </c>
      <c r="F4" s="9" t="inlineStr">
        <is>
          <t>Roads Wt %</t>
        </is>
      </c>
      <c r="G4" s="9" t="inlineStr">
        <is>
          <t>Facility Contribution</t>
        </is>
      </c>
      <c r="H4" s="9" t="inlineStr">
        <is>
          <t>Outdoor Contribution</t>
        </is>
      </c>
      <c r="I4" s="9" t="inlineStr">
        <is>
          <t>Roads Contribution</t>
        </is>
      </c>
    </row>
    <row r="5">
      <c r="A5" s="10" t="inlineStr">
        <is>
          <t>Ice Accumulation</t>
        </is>
      </c>
      <c r="B5" s="11" t="n"/>
      <c r="C5" s="12">
        <f>IFERROR(VLOOKUP(B5,Lists!$AB$2:$AC$5,2,FALSE),0)</f>
        <v/>
      </c>
      <c r="D5" s="10" t="n">
        <v>50</v>
      </c>
      <c r="E5" s="10" t="n">
        <v>20</v>
      </c>
      <c r="F5" s="10" t="n">
        <v>40</v>
      </c>
      <c r="G5" s="13">
        <f>C5*D5</f>
        <v/>
      </c>
      <c r="H5" s="13">
        <f>C5*E5</f>
        <v/>
      </c>
      <c r="I5" s="13">
        <f>C5*F5</f>
        <v/>
      </c>
    </row>
    <row r="6">
      <c r="A6" s="10" t="inlineStr">
        <is>
          <t>Snow Accumulation</t>
        </is>
      </c>
      <c r="B6" s="11" t="n"/>
      <c r="C6" s="12">
        <f>IFERROR(VLOOKUP(B6,Lists!$AE$2:$AF$5,2,FALSE),0)</f>
        <v/>
      </c>
      <c r="D6" s="10" t="n">
        <v>20</v>
      </c>
      <c r="E6" s="10" t="n">
        <v>20</v>
      </c>
      <c r="F6" s="10" t="n">
        <v>20</v>
      </c>
      <c r="G6" s="13">
        <f>C6*D6</f>
        <v/>
      </c>
      <c r="H6" s="13">
        <f>C6*E6</f>
        <v/>
      </c>
      <c r="I6" s="13">
        <f>C6*F6</f>
        <v/>
      </c>
    </row>
    <row r="7">
      <c r="A7" s="10" t="inlineStr">
        <is>
          <t>Wind Chill</t>
        </is>
      </c>
      <c r="B7" s="11" t="n"/>
      <c r="C7" s="12">
        <f>IFERROR(VLOOKUP(B7,Lists!$AH$2:$AI$6,2,FALSE),0)</f>
        <v/>
      </c>
      <c r="D7" s="10" t="n">
        <v>10</v>
      </c>
      <c r="E7" s="10" t="n">
        <v>30</v>
      </c>
      <c r="F7" s="10" t="n">
        <v>5</v>
      </c>
      <c r="G7" s="13">
        <f>C7*D7</f>
        <v/>
      </c>
      <c r="H7" s="13">
        <f>C7*E7</f>
        <v/>
      </c>
      <c r="I7" s="13">
        <f>C7*F7</f>
        <v/>
      </c>
    </row>
    <row r="8">
      <c r="A8" s="10" t="inlineStr">
        <is>
          <t>Max Wind Gust</t>
        </is>
      </c>
      <c r="B8" s="11" t="n"/>
      <c r="C8" s="12">
        <f>IFERROR(VLOOKUP(B8,Lists!$M$2:$N$6,2,FALSE),0)</f>
        <v/>
      </c>
      <c r="D8" s="10" t="n">
        <v>5</v>
      </c>
      <c r="E8" s="10" t="n">
        <v>20</v>
      </c>
      <c r="F8" s="10" t="n">
        <v>15</v>
      </c>
      <c r="G8" s="13">
        <f>C8*D8</f>
        <v/>
      </c>
      <c r="H8" s="13">
        <f>C8*E8</f>
        <v/>
      </c>
      <c r="I8" s="13">
        <f>C8*F8</f>
        <v/>
      </c>
    </row>
    <row r="9">
      <c r="A9" s="10" t="inlineStr">
        <is>
          <t>Freeze-Thaw Cycle</t>
        </is>
      </c>
      <c r="B9" s="11" t="n"/>
      <c r="C9" s="12">
        <f>IFERROR(VLOOKUP(B9,Lists!$G$2:$H$3,2,FALSE),0)</f>
        <v/>
      </c>
      <c r="D9" s="10" t="n">
        <v>15</v>
      </c>
      <c r="E9" s="10" t="n">
        <v>10</v>
      </c>
      <c r="F9" s="10" t="n">
        <v>20</v>
      </c>
      <c r="G9" s="13">
        <f>C9*D9</f>
        <v/>
      </c>
      <c r="H9" s="13">
        <f>C9*E9</f>
        <v/>
      </c>
      <c r="I9" s="13">
        <f>C9*F9</f>
        <v/>
      </c>
    </row>
    <row r="10">
      <c r="A10" s="24" t="inlineStr">
        <is>
          <t>Weight totals check</t>
        </is>
      </c>
      <c r="D10" s="24">
        <f>SUM(D5:D9)</f>
        <v/>
      </c>
      <c r="E10" s="24">
        <f>SUM(E5:E9)</f>
        <v/>
      </c>
      <c r="F10" s="24">
        <f>SUM(F5:F9)</f>
        <v/>
      </c>
    </row>
    <row r="12" ht="16" customHeight="1" s="22">
      <c r="A12" s="15" t="inlineStr">
        <is>
          <t>Final Scores</t>
        </is>
      </c>
      <c r="G12" s="16" t="inlineStr">
        <is>
          <t>Facility Ops</t>
        </is>
      </c>
      <c r="H12" s="16" t="inlineStr">
        <is>
          <t>Outdoor Activities</t>
        </is>
      </c>
      <c r="I12" s="16" t="inlineStr">
        <is>
          <t>Roads &amp; Travel</t>
        </is>
      </c>
    </row>
    <row r="13" ht="19" customHeight="1" s="22">
      <c r="G13" s="17">
        <f>MIN(100,MAX(0,ROUND(SUM(G5:G9)/100,0)))</f>
        <v/>
      </c>
      <c r="H13" s="17">
        <f>MIN(100,MAX(0,ROUND(SUM(H5:H9)/100,0)))</f>
        <v/>
      </c>
      <c r="I13" s="17">
        <f>MIN(100,MAX(0,ROUND(SUM(I5:I9)/100,0)))</f>
        <v/>
      </c>
    </row>
    <row r="14" ht="16" customHeight="1" s="22">
      <c r="G14" s="18">
        <f>IF(G13&lt;25,"Green — Normal Operations",IF(G13&lt;50,"Yellow — Elevated Caution",IF(G13&lt;75,"Amber — High Risk","Red — Severe Risk")))</f>
        <v/>
      </c>
      <c r="H14" s="18">
        <f>IF(H13&lt;25,"Green — Normal Operations",IF(H13&lt;50,"Yellow — Elevated Caution",IF(H13&lt;75,"Amber — High Risk","Red — Severe Risk")))</f>
        <v/>
      </c>
      <c r="I14" s="18">
        <f>IF(I13&lt;25,"Green — Normal Operations",IF(I13&lt;50,"Yellow — Elevated Caution",IF(I13&lt;75,"Amber — High Risk","Red — Severe Risk")))</f>
        <v/>
      </c>
    </row>
  </sheetData>
  <mergeCells count="2">
    <mergeCell ref="A2:H2"/>
    <mergeCell ref="A1:H1"/>
  </mergeCells>
  <conditionalFormatting sqref="G14:I14">
    <cfRule type="expression" priority="1" dxfId="3">
      <formula>ISNUMBER(SEARCH("Green",G14))</formula>
    </cfRule>
    <cfRule type="expression" priority="2" dxfId="2">
      <formula>ISNUMBER(SEARCH("Yellow",G14))</formula>
    </cfRule>
    <cfRule type="expression" priority="3" dxfId="1">
      <formula>ISNUMBER(SEARCH("Amber",G14))</formula>
    </cfRule>
    <cfRule type="expression" priority="4" dxfId="0">
      <formula>ISNUMBER(SEARCH("Red",G14))</formula>
    </cfRule>
  </conditionalFormatting>
  <dataValidations count="5">
    <dataValidation sqref="B5" showDropDown="0" showInputMessage="0" showErrorMessage="0" allowBlank="1" type="list">
      <formula1>Lists!$AB$2:$AB$5</formula1>
    </dataValidation>
    <dataValidation sqref="B6" showDropDown="0" showInputMessage="0" showErrorMessage="0" allowBlank="1" type="list">
      <formula1>Lists!$AE$2:$AE$5</formula1>
    </dataValidation>
    <dataValidation sqref="B7" showDropDown="0" showInputMessage="0" showErrorMessage="0" allowBlank="1" type="list">
      <formula1>Lists!$AH$2:$AH$6</formula1>
    </dataValidation>
    <dataValidation sqref="B8" showDropDown="0" showInputMessage="0" showErrorMessage="0" allowBlank="1" type="list">
      <formula1>Lists!$M$2:$M$6</formula1>
    </dataValidation>
    <dataValidation sqref="B9" showDropDown="0" showInputMessage="0" showErrorMessage="0" allowBlank="1" type="list">
      <formula1>Lists!$G$2:$G$3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DD3FC"/>
    <outlinePr summaryBelow="1" summaryRight="1"/>
    <pageSetUpPr/>
  </sheetPr>
  <dimension ref="A1:X15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22" min="1" max="1"/>
    <col width="16" customWidth="1" style="22" min="2" max="2"/>
    <col hidden="1" width="13" customWidth="1" style="22" min="3" max="3"/>
    <col width="16" customWidth="1" style="22" min="4" max="4"/>
    <col hidden="1" width="13" customWidth="1" style="22" min="5" max="5"/>
    <col width="16" customWidth="1" style="22" min="6" max="6"/>
    <col hidden="1" width="13" customWidth="1" style="22" min="7" max="7"/>
    <col width="16" customWidth="1" style="22" min="8" max="8"/>
    <col hidden="1" width="13" customWidth="1" style="22" min="9" max="9"/>
    <col width="16" customWidth="1" style="22" min="10" max="10"/>
    <col hidden="1" width="13" customWidth="1" style="22" min="11" max="11"/>
    <col width="15" customWidth="1" style="22" min="12" max="12"/>
    <col width="15" customWidth="1" style="22" min="13" max="13"/>
    <col width="15" customWidth="1" style="22" min="14" max="14"/>
    <col width="15" customWidth="1" style="22" min="15" max="15"/>
    <col width="15" customWidth="1" style="22" min="16" max="16"/>
    <col width="15" customWidth="1" style="22" min="17" max="17"/>
    <col width="13" customWidth="1" style="22" min="18" max="18"/>
    <col width="13" customWidth="1" style="22" min="19" max="19"/>
    <col width="13" customWidth="1" style="22" min="20" max="20"/>
    <col width="13" customWidth="1" style="22" min="21" max="21"/>
    <col width="13" customWidth="1" style="22" min="22" max="22"/>
    <col width="13" customWidth="1" style="22" min="23" max="23"/>
    <col width="26" customWidth="1" style="22" min="24" max="24"/>
  </cols>
  <sheetData>
    <row r="1">
      <c r="A1" s="25" t="inlineStr">
        <is>
          <t>Kestrel — Winter Examples</t>
        </is>
      </c>
    </row>
    <row r="2">
      <c r="A2" s="26" t="inlineStr">
        <is>
          <t>Pre-built scenarios scored by the same formula/weights as the interactive tab. Fill in 'Your Ranking' per category from historical judgment, then check the Match column.</t>
        </is>
      </c>
    </row>
    <row r="5">
      <c r="A5" s="27" t="inlineStr">
        <is>
          <t>Scenario</t>
        </is>
      </c>
      <c r="B5" s="27" t="inlineStr">
        <is>
          <t>Ice Accumulation</t>
        </is>
      </c>
      <c r="C5" s="27" t="inlineStr">
        <is>
          <t>Ice Accumulation (raw)</t>
        </is>
      </c>
      <c r="D5" s="27" t="inlineStr">
        <is>
          <t>Snow Accumulation</t>
        </is>
      </c>
      <c r="E5" s="27" t="inlineStr">
        <is>
          <t>Snow Accumulation (raw)</t>
        </is>
      </c>
      <c r="F5" s="27" t="inlineStr">
        <is>
          <t>Wind Chill</t>
        </is>
      </c>
      <c r="G5" s="27" t="inlineStr">
        <is>
          <t>Wind Chill (raw)</t>
        </is>
      </c>
      <c r="H5" s="27" t="inlineStr">
        <is>
          <t>Max Wind Gust</t>
        </is>
      </c>
      <c r="I5" s="27" t="inlineStr">
        <is>
          <t>Max Wind Gust (raw)</t>
        </is>
      </c>
      <c r="J5" s="27" t="inlineStr">
        <is>
          <t>Freeze-Thaw Cycle</t>
        </is>
      </c>
      <c r="K5" s="27" t="inlineStr">
        <is>
          <t>Freeze-Thaw Cycle (raw)</t>
        </is>
      </c>
      <c r="L5" s="27" t="inlineStr">
        <is>
          <t>Facility Score</t>
        </is>
      </c>
      <c r="M5" s="27" t="inlineStr">
        <is>
          <t>Facility Level</t>
        </is>
      </c>
      <c r="N5" s="27" t="inlineStr">
        <is>
          <t>Outdoor Score</t>
        </is>
      </c>
      <c r="O5" s="27" t="inlineStr">
        <is>
          <t>Outdoor Level</t>
        </is>
      </c>
      <c r="P5" s="27" t="inlineStr">
        <is>
          <t>Roads Score</t>
        </is>
      </c>
      <c r="Q5" s="27" t="inlineStr">
        <is>
          <t>Roads Level</t>
        </is>
      </c>
      <c r="R5" s="27" t="inlineStr">
        <is>
          <t>Your: Facility</t>
        </is>
      </c>
      <c r="S5" s="27" t="inlineStr">
        <is>
          <t>Facility Match</t>
        </is>
      </c>
      <c r="T5" s="27" t="inlineStr">
        <is>
          <t>Your: Outdoor</t>
        </is>
      </c>
      <c r="U5" s="27" t="inlineStr">
        <is>
          <t>Outdoor Match</t>
        </is>
      </c>
      <c r="V5" s="27" t="inlineStr">
        <is>
          <t>Your: Roads</t>
        </is>
      </c>
      <c r="W5" s="27" t="inlineStr">
        <is>
          <t>Roads Match</t>
        </is>
      </c>
      <c r="X5" s="27" t="inlineStr">
        <is>
          <t>Notes</t>
        </is>
      </c>
    </row>
    <row r="6">
      <c r="A6" s="28" t="inlineStr">
        <is>
          <t>Clear and cold, no precip</t>
        </is>
      </c>
      <c r="B6" s="29" t="inlineStr">
        <is>
          <t>None</t>
        </is>
      </c>
      <c r="C6" s="30">
        <f>IFERROR(VLOOKUP(B6,Lists!$AB$2:$AC$5,2,FALSE),0)</f>
        <v/>
      </c>
      <c r="D6" s="29" t="inlineStr">
        <is>
          <t>None</t>
        </is>
      </c>
      <c r="E6" s="30">
        <f>IFERROR(VLOOKUP(D6,Lists!$AE$2:$AF$5,2,FALSE),0)</f>
        <v/>
      </c>
      <c r="F6" s="29" t="inlineStr">
        <is>
          <t>&gt;32°F</t>
        </is>
      </c>
      <c r="G6" s="30">
        <f>IFERROR(VLOOKUP(F6,Lists!$AH$2:$AI$6,2,FALSE),0)</f>
        <v/>
      </c>
      <c r="H6" s="29" t="inlineStr">
        <is>
          <t>&lt;30 mph</t>
        </is>
      </c>
      <c r="I6" s="30">
        <f>IFERROR(VLOOKUP(H6,Lists!$M$2:$N$6,2,FALSE),0)</f>
        <v/>
      </c>
      <c r="J6" s="29" t="inlineStr">
        <is>
          <t>No</t>
        </is>
      </c>
      <c r="K6" s="30">
        <f>IFERROR(VLOOKUP(J6,Lists!$G$2:$H$3,2,FALSE),0)</f>
        <v/>
      </c>
      <c r="L6" s="31">
        <f>MIN(100,MAX(0,ROUND((C6*50+E6*20+G6*10+I6*5+K6*15)/100,0)))</f>
        <v/>
      </c>
      <c r="M6" s="32">
        <f>IF(L6&lt;25,"Green — Normal Operations",IF(L6&lt;50,"Yellow — Elevated Caution",IF(L6&lt;75,"Amber — High Risk","Red — Severe Risk")))</f>
        <v/>
      </c>
      <c r="N6" s="31">
        <f>MIN(100,MAX(0,ROUND((C6*20+E6*20+G6*30+I6*20+K6*10)/100,0)))</f>
        <v/>
      </c>
      <c r="O6" s="32">
        <f>IF(N6&lt;25,"Green — Normal Operations",IF(N6&lt;50,"Yellow — Elevated Caution",IF(N6&lt;75,"Amber — High Risk","Red — Severe Risk")))</f>
        <v/>
      </c>
      <c r="P6" s="31">
        <f>MIN(100,MAX(0,ROUND((C6*40+E6*20+G6*5+I6*15+K6*20)/100,0)))</f>
        <v/>
      </c>
      <c r="Q6" s="32">
        <f>IF(P6&lt;25,"Green — Normal Operations",IF(P6&lt;50,"Yellow — Elevated Caution",IF(P6&lt;75,"Amber — High Risk","Red — Severe Risk")))</f>
        <v/>
      </c>
      <c r="R6" s="33" t="n"/>
      <c r="S6" s="34">
        <f>IF(R6="","",IF(R6=LEFT(M6,FIND(" ",M6)-1),"Match","Differs"))</f>
        <v/>
      </c>
      <c r="T6" s="33" t="n"/>
      <c r="U6" s="34">
        <f>IF(T6="","",IF(T6=LEFT(O6,FIND(" ",O6)-1),"Match","Differs"))</f>
        <v/>
      </c>
      <c r="V6" s="33" t="n"/>
      <c r="W6" s="34">
        <f>IF(V6="","",IF(V6=LEFT(Q6,FIND(" ",Q6)-1),"Match","Differs"))</f>
        <v/>
      </c>
      <c r="X6" s="35" t="n"/>
    </row>
    <row r="7">
      <c r="A7" s="28" t="inlineStr">
        <is>
          <t>Light flurries, no accumulation</t>
        </is>
      </c>
      <c r="B7" s="29" t="inlineStr">
        <is>
          <t>None</t>
        </is>
      </c>
      <c r="C7" s="30">
        <f>IFERROR(VLOOKUP(B7,Lists!$AB$2:$AC$5,2,FALSE),0)</f>
        <v/>
      </c>
      <c r="D7" s="29" t="inlineStr">
        <is>
          <t>1–3"</t>
        </is>
      </c>
      <c r="E7" s="30">
        <f>IFERROR(VLOOKUP(D7,Lists!$AE$2:$AF$5,2,FALSE),0)</f>
        <v/>
      </c>
      <c r="F7" s="29" t="inlineStr">
        <is>
          <t>20–32°F</t>
        </is>
      </c>
      <c r="G7" s="30">
        <f>IFERROR(VLOOKUP(F7,Lists!$AH$2:$AI$6,2,FALSE),0)</f>
        <v/>
      </c>
      <c r="H7" s="29" t="inlineStr">
        <is>
          <t>&lt;30 mph</t>
        </is>
      </c>
      <c r="I7" s="30">
        <f>IFERROR(VLOOKUP(H7,Lists!$M$2:$N$6,2,FALSE),0)</f>
        <v/>
      </c>
      <c r="J7" s="29" t="inlineStr">
        <is>
          <t>No</t>
        </is>
      </c>
      <c r="K7" s="30">
        <f>IFERROR(VLOOKUP(J7,Lists!$G$2:$H$3,2,FALSE),0)</f>
        <v/>
      </c>
      <c r="L7" s="31">
        <f>MIN(100,MAX(0,ROUND((C7*50+E7*20+G7*10+I7*5+K7*15)/100,0)))</f>
        <v/>
      </c>
      <c r="M7" s="32">
        <f>IF(L7&lt;25,"Green — Normal Operations",IF(L7&lt;50,"Yellow — Elevated Caution",IF(L7&lt;75,"Amber — High Risk","Red — Severe Risk")))</f>
        <v/>
      </c>
      <c r="N7" s="31">
        <f>MIN(100,MAX(0,ROUND((C7*20+E7*20+G7*30+I7*20+K7*10)/100,0)))</f>
        <v/>
      </c>
      <c r="O7" s="32">
        <f>IF(N7&lt;25,"Green — Normal Operations",IF(N7&lt;50,"Yellow — Elevated Caution",IF(N7&lt;75,"Amber — High Risk","Red — Severe Risk")))</f>
        <v/>
      </c>
      <c r="P7" s="31">
        <f>MIN(100,MAX(0,ROUND((C7*40+E7*20+G7*5+I7*15+K7*20)/100,0)))</f>
        <v/>
      </c>
      <c r="Q7" s="32">
        <f>IF(P7&lt;25,"Green — Normal Operations",IF(P7&lt;50,"Yellow — Elevated Caution",IF(P7&lt;75,"Amber — High Risk","Red — Severe Risk")))</f>
        <v/>
      </c>
      <c r="R7" s="33" t="n"/>
      <c r="S7" s="34">
        <f>IF(R7="","",IF(R7=LEFT(M7,FIND(" ",M7)-1),"Match","Differs"))</f>
        <v/>
      </c>
      <c r="T7" s="33" t="n"/>
      <c r="U7" s="34">
        <f>IF(T7="","",IF(T7=LEFT(O7,FIND(" ",O7)-1),"Match","Differs"))</f>
        <v/>
      </c>
      <c r="V7" s="33" t="n"/>
      <c r="W7" s="34">
        <f>IF(V7="","",IF(V7=LEFT(Q7,FIND(" ",Q7)-1),"Match","Differs"))</f>
        <v/>
      </c>
      <c r="X7" s="35" t="n"/>
    </row>
    <row r="8">
      <c r="A8" s="28" t="inlineStr">
        <is>
          <t>Moderate snow event</t>
        </is>
      </c>
      <c r="B8" s="29" t="inlineStr">
        <is>
          <t>None</t>
        </is>
      </c>
      <c r="C8" s="30">
        <f>IFERROR(VLOOKUP(B8,Lists!$AB$2:$AC$5,2,FALSE),0)</f>
        <v/>
      </c>
      <c r="D8" s="29" t="inlineStr">
        <is>
          <t>3–6"</t>
        </is>
      </c>
      <c r="E8" s="30">
        <f>IFERROR(VLOOKUP(D8,Lists!$AE$2:$AF$5,2,FALSE),0)</f>
        <v/>
      </c>
      <c r="F8" s="29" t="inlineStr">
        <is>
          <t>10–20°F</t>
        </is>
      </c>
      <c r="G8" s="30">
        <f>IFERROR(VLOOKUP(F8,Lists!$AH$2:$AI$6,2,FALSE),0)</f>
        <v/>
      </c>
      <c r="H8" s="29" t="inlineStr">
        <is>
          <t>30–40 mph</t>
        </is>
      </c>
      <c r="I8" s="30">
        <f>IFERROR(VLOOKUP(H8,Lists!$M$2:$N$6,2,FALSE),0)</f>
        <v/>
      </c>
      <c r="J8" s="29" t="inlineStr">
        <is>
          <t>No</t>
        </is>
      </c>
      <c r="K8" s="30">
        <f>IFERROR(VLOOKUP(J8,Lists!$G$2:$H$3,2,FALSE),0)</f>
        <v/>
      </c>
      <c r="L8" s="31">
        <f>MIN(100,MAX(0,ROUND((C8*50+E8*20+G8*10+I8*5+K8*15)/100,0)))</f>
        <v/>
      </c>
      <c r="M8" s="32">
        <f>IF(L8&lt;25,"Green — Normal Operations",IF(L8&lt;50,"Yellow — Elevated Caution",IF(L8&lt;75,"Amber — High Risk","Red — Severe Risk")))</f>
        <v/>
      </c>
      <c r="N8" s="31">
        <f>MIN(100,MAX(0,ROUND((C8*20+E8*20+G8*30+I8*20+K8*10)/100,0)))</f>
        <v/>
      </c>
      <c r="O8" s="32">
        <f>IF(N8&lt;25,"Green — Normal Operations",IF(N8&lt;50,"Yellow — Elevated Caution",IF(N8&lt;75,"Amber — High Risk","Red — Severe Risk")))</f>
        <v/>
      </c>
      <c r="P8" s="31">
        <f>MIN(100,MAX(0,ROUND((C8*40+E8*20+G8*5+I8*15+K8*20)/100,0)))</f>
        <v/>
      </c>
      <c r="Q8" s="32">
        <f>IF(P8&lt;25,"Green — Normal Operations",IF(P8&lt;50,"Yellow — Elevated Caution",IF(P8&lt;75,"Amber — High Risk","Red — Severe Risk")))</f>
        <v/>
      </c>
      <c r="R8" s="33" t="n"/>
      <c r="S8" s="34">
        <f>IF(R8="","",IF(R8=LEFT(M8,FIND(" ",M8)-1),"Match","Differs"))</f>
        <v/>
      </c>
      <c r="T8" s="33" t="n"/>
      <c r="U8" s="34">
        <f>IF(T8="","",IF(T8=LEFT(O8,FIND(" ",O8)-1),"Match","Differs"))</f>
        <v/>
      </c>
      <c r="V8" s="33" t="n"/>
      <c r="W8" s="34">
        <f>IF(V8="","",IF(V8=LEFT(Q8,FIND(" ",Q8)-1),"Match","Differs"))</f>
        <v/>
      </c>
      <c r="X8" s="35" t="n"/>
    </row>
    <row r="9">
      <c r="A9" s="28" t="inlineStr">
        <is>
          <t>Glaze ice, light accumulation</t>
        </is>
      </c>
      <c r="B9" s="29" t="inlineStr">
        <is>
          <t>Trace–0.10"</t>
        </is>
      </c>
      <c r="C9" s="30">
        <f>IFERROR(VLOOKUP(B9,Lists!$AB$2:$AC$5,2,FALSE),0)</f>
        <v/>
      </c>
      <c r="D9" s="29" t="inlineStr">
        <is>
          <t>None</t>
        </is>
      </c>
      <c r="E9" s="30">
        <f>IFERROR(VLOOKUP(D9,Lists!$AE$2:$AF$5,2,FALSE),0)</f>
        <v/>
      </c>
      <c r="F9" s="29" t="inlineStr">
        <is>
          <t>&gt;32°F</t>
        </is>
      </c>
      <c r="G9" s="30">
        <f>IFERROR(VLOOKUP(F9,Lists!$AH$2:$AI$6,2,FALSE),0)</f>
        <v/>
      </c>
      <c r="H9" s="29" t="inlineStr">
        <is>
          <t>&lt;30 mph</t>
        </is>
      </c>
      <c r="I9" s="30">
        <f>IFERROR(VLOOKUP(H9,Lists!$M$2:$N$6,2,FALSE),0)</f>
        <v/>
      </c>
      <c r="J9" s="29" t="inlineStr">
        <is>
          <t>Yes</t>
        </is>
      </c>
      <c r="K9" s="30">
        <f>IFERROR(VLOOKUP(J9,Lists!$G$2:$H$3,2,FALSE),0)</f>
        <v/>
      </c>
      <c r="L9" s="31">
        <f>MIN(100,MAX(0,ROUND((C9*50+E9*20+G9*10+I9*5+K9*15)/100,0)))</f>
        <v/>
      </c>
      <c r="M9" s="32">
        <f>IF(L9&lt;25,"Green — Normal Operations",IF(L9&lt;50,"Yellow — Elevated Caution",IF(L9&lt;75,"Amber — High Risk","Red — Severe Risk")))</f>
        <v/>
      </c>
      <c r="N9" s="31">
        <f>MIN(100,MAX(0,ROUND((C9*20+E9*20+G9*30+I9*20+K9*10)/100,0)))</f>
        <v/>
      </c>
      <c r="O9" s="32">
        <f>IF(N9&lt;25,"Green — Normal Operations",IF(N9&lt;50,"Yellow — Elevated Caution",IF(N9&lt;75,"Amber — High Risk","Red — Severe Risk")))</f>
        <v/>
      </c>
      <c r="P9" s="31">
        <f>MIN(100,MAX(0,ROUND((C9*40+E9*20+G9*5+I9*15+K9*20)/100,0)))</f>
        <v/>
      </c>
      <c r="Q9" s="32">
        <f>IF(P9&lt;25,"Green — Normal Operations",IF(P9&lt;50,"Yellow — Elevated Caution",IF(P9&lt;75,"Amber — High Risk","Red — Severe Risk")))</f>
        <v/>
      </c>
      <c r="R9" s="33" t="n"/>
      <c r="S9" s="34">
        <f>IF(R9="","",IF(R9=LEFT(M9,FIND(" ",M9)-1),"Match","Differs"))</f>
        <v/>
      </c>
      <c r="T9" s="33" t="n"/>
      <c r="U9" s="34">
        <f>IF(T9="","",IF(T9=LEFT(O9,FIND(" ",O9)-1),"Match","Differs"))</f>
        <v/>
      </c>
      <c r="V9" s="33" t="n"/>
      <c r="W9" s="34">
        <f>IF(V9="","",IF(V9=LEFT(Q9,FIND(" ",Q9)-1),"Match","Differs"))</f>
        <v/>
      </c>
      <c r="X9" s="35" t="n"/>
    </row>
    <row r="10">
      <c r="A10" s="28" t="inlineStr">
        <is>
          <t>Significant ice storm</t>
        </is>
      </c>
      <c r="B10" s="29" t="inlineStr">
        <is>
          <t>0.10–0.25"</t>
        </is>
      </c>
      <c r="C10" s="30">
        <f>IFERROR(VLOOKUP(B10,Lists!$AB$2:$AC$5,2,FALSE),0)</f>
        <v/>
      </c>
      <c r="D10" s="29" t="inlineStr">
        <is>
          <t>1–3"</t>
        </is>
      </c>
      <c r="E10" s="30">
        <f>IFERROR(VLOOKUP(D10,Lists!$AE$2:$AF$5,2,FALSE),0)</f>
        <v/>
      </c>
      <c r="F10" s="29" t="inlineStr">
        <is>
          <t>10–20°F</t>
        </is>
      </c>
      <c r="G10" s="30">
        <f>IFERROR(VLOOKUP(F10,Lists!$AH$2:$AI$6,2,FALSE),0)</f>
        <v/>
      </c>
      <c r="H10" s="29" t="inlineStr">
        <is>
          <t>30–40 mph</t>
        </is>
      </c>
      <c r="I10" s="30">
        <f>IFERROR(VLOOKUP(H10,Lists!$M$2:$N$6,2,FALSE),0)</f>
        <v/>
      </c>
      <c r="J10" s="29" t="inlineStr">
        <is>
          <t>Yes</t>
        </is>
      </c>
      <c r="K10" s="30">
        <f>IFERROR(VLOOKUP(J10,Lists!$G$2:$H$3,2,FALSE),0)</f>
        <v/>
      </c>
      <c r="L10" s="31">
        <f>MIN(100,MAX(0,ROUND((C10*50+E10*20+G10*10+I10*5+K10*15)/100,0)))</f>
        <v/>
      </c>
      <c r="M10" s="32">
        <f>IF(L10&lt;25,"Green — Normal Operations",IF(L10&lt;50,"Yellow — Elevated Caution",IF(L10&lt;75,"Amber — High Risk","Red — Severe Risk")))</f>
        <v/>
      </c>
      <c r="N10" s="31">
        <f>MIN(100,MAX(0,ROUND((C10*20+E10*20+G10*30+I10*20+K10*10)/100,0)))</f>
        <v/>
      </c>
      <c r="O10" s="32">
        <f>IF(N10&lt;25,"Green — Normal Operations",IF(N10&lt;50,"Yellow — Elevated Caution",IF(N10&lt;75,"Amber — High Risk","Red — Severe Risk")))</f>
        <v/>
      </c>
      <c r="P10" s="31">
        <f>MIN(100,MAX(0,ROUND((C10*40+E10*20+G10*5+I10*15+K10*20)/100,0)))</f>
        <v/>
      </c>
      <c r="Q10" s="32">
        <f>IF(P10&lt;25,"Green — Normal Operations",IF(P10&lt;50,"Yellow — Elevated Caution",IF(P10&lt;75,"Amber — High Risk","Red — Severe Risk")))</f>
        <v/>
      </c>
      <c r="R10" s="33" t="n"/>
      <c r="S10" s="34">
        <f>IF(R10="","",IF(R10=LEFT(M10,FIND(" ",M10)-1),"Match","Differs"))</f>
        <v/>
      </c>
      <c r="T10" s="33" t="n"/>
      <c r="U10" s="34">
        <f>IF(T10="","",IF(T10=LEFT(O10,FIND(" ",O10)-1),"Match","Differs"))</f>
        <v/>
      </c>
      <c r="V10" s="33" t="n"/>
      <c r="W10" s="34">
        <f>IF(V10="","",IF(V10=LEFT(Q10,FIND(" ",Q10)-1),"Match","Differs"))</f>
        <v/>
      </c>
      <c r="X10" s="35" t="n"/>
    </row>
    <row r="11">
      <c r="A11" s="28" t="inlineStr">
        <is>
          <t>Major ice storm, heavy accumulation</t>
        </is>
      </c>
      <c r="B11" s="29" t="inlineStr">
        <is>
          <t>&gt;0.25"</t>
        </is>
      </c>
      <c r="C11" s="30">
        <f>IFERROR(VLOOKUP(B11,Lists!$AB$2:$AC$5,2,FALSE),0)</f>
        <v/>
      </c>
      <c r="D11" s="29" t="inlineStr">
        <is>
          <t>3–6"</t>
        </is>
      </c>
      <c r="E11" s="30">
        <f>IFERROR(VLOOKUP(D11,Lists!$AE$2:$AF$5,2,FALSE),0)</f>
        <v/>
      </c>
      <c r="F11" s="29" t="inlineStr">
        <is>
          <t>0–10°F</t>
        </is>
      </c>
      <c r="G11" s="30">
        <f>IFERROR(VLOOKUP(F11,Lists!$AH$2:$AI$6,2,FALSE),0)</f>
        <v/>
      </c>
      <c r="H11" s="29" t="inlineStr">
        <is>
          <t>40–50 mph</t>
        </is>
      </c>
      <c r="I11" s="30">
        <f>IFERROR(VLOOKUP(H11,Lists!$M$2:$N$6,2,FALSE),0)</f>
        <v/>
      </c>
      <c r="J11" s="29" t="inlineStr">
        <is>
          <t>Yes</t>
        </is>
      </c>
      <c r="K11" s="30">
        <f>IFERROR(VLOOKUP(J11,Lists!$G$2:$H$3,2,FALSE),0)</f>
        <v/>
      </c>
      <c r="L11" s="31">
        <f>MIN(100,MAX(0,ROUND((C11*50+E11*20+G11*10+I11*5+K11*15)/100,0)))</f>
        <v/>
      </c>
      <c r="M11" s="32">
        <f>IF(L11&lt;25,"Green — Normal Operations",IF(L11&lt;50,"Yellow — Elevated Caution",IF(L11&lt;75,"Amber — High Risk","Red — Severe Risk")))</f>
        <v/>
      </c>
      <c r="N11" s="31">
        <f>MIN(100,MAX(0,ROUND((C11*20+E11*20+G11*30+I11*20+K11*10)/100,0)))</f>
        <v/>
      </c>
      <c r="O11" s="32">
        <f>IF(N11&lt;25,"Green — Normal Operations",IF(N11&lt;50,"Yellow — Elevated Caution",IF(N11&lt;75,"Amber — High Risk","Red — Severe Risk")))</f>
        <v/>
      </c>
      <c r="P11" s="31">
        <f>MIN(100,MAX(0,ROUND((C11*40+E11*20+G11*5+I11*15+K11*20)/100,0)))</f>
        <v/>
      </c>
      <c r="Q11" s="32">
        <f>IF(P11&lt;25,"Green — Normal Operations",IF(P11&lt;50,"Yellow — Elevated Caution",IF(P11&lt;75,"Amber — High Risk","Red — Severe Risk")))</f>
        <v/>
      </c>
      <c r="R11" s="33" t="n"/>
      <c r="S11" s="34">
        <f>IF(R11="","",IF(R11=LEFT(M11,FIND(" ",M11)-1),"Match","Differs"))</f>
        <v/>
      </c>
      <c r="T11" s="33" t="n"/>
      <c r="U11" s="34">
        <f>IF(T11="","",IF(T11=LEFT(O11,FIND(" ",O11)-1),"Match","Differs"))</f>
        <v/>
      </c>
      <c r="V11" s="33" t="n"/>
      <c r="W11" s="34">
        <f>IF(V11="","",IF(V11=LEFT(Q11,FIND(" ",Q11)-1),"Match","Differs"))</f>
        <v/>
      </c>
      <c r="X11" s="35" t="n"/>
    </row>
    <row r="12">
      <c r="A12" s="28" t="inlineStr">
        <is>
          <t>Heavy snow, blizzard-adjacent wind</t>
        </is>
      </c>
      <c r="B12" s="29" t="inlineStr">
        <is>
          <t>None</t>
        </is>
      </c>
      <c r="C12" s="30">
        <f>IFERROR(VLOOKUP(B12,Lists!$AB$2:$AC$5,2,FALSE),0)</f>
        <v/>
      </c>
      <c r="D12" s="29" t="inlineStr">
        <is>
          <t>&gt;6"</t>
        </is>
      </c>
      <c r="E12" s="30">
        <f>IFERROR(VLOOKUP(D12,Lists!$AE$2:$AF$5,2,FALSE),0)</f>
        <v/>
      </c>
      <c r="F12" s="29" t="inlineStr">
        <is>
          <t>0–10°F</t>
        </is>
      </c>
      <c r="G12" s="30">
        <f>IFERROR(VLOOKUP(F12,Lists!$AH$2:$AI$6,2,FALSE),0)</f>
        <v/>
      </c>
      <c r="H12" s="29" t="inlineStr">
        <is>
          <t>&gt;60 mph</t>
        </is>
      </c>
      <c r="I12" s="30">
        <f>IFERROR(VLOOKUP(H12,Lists!$M$2:$N$6,2,FALSE),0)</f>
        <v/>
      </c>
      <c r="J12" s="29" t="inlineStr">
        <is>
          <t>No</t>
        </is>
      </c>
      <c r="K12" s="30">
        <f>IFERROR(VLOOKUP(J12,Lists!$G$2:$H$3,2,FALSE),0)</f>
        <v/>
      </c>
      <c r="L12" s="31">
        <f>MIN(100,MAX(0,ROUND((C12*50+E12*20+G12*10+I12*5+K12*15)/100,0)))</f>
        <v/>
      </c>
      <c r="M12" s="32">
        <f>IF(L12&lt;25,"Green — Normal Operations",IF(L12&lt;50,"Yellow — Elevated Caution",IF(L12&lt;75,"Amber — High Risk","Red — Severe Risk")))</f>
        <v/>
      </c>
      <c r="N12" s="31">
        <f>MIN(100,MAX(0,ROUND((C12*20+E12*20+G12*30+I12*20+K12*10)/100,0)))</f>
        <v/>
      </c>
      <c r="O12" s="32">
        <f>IF(N12&lt;25,"Green — Normal Operations",IF(N12&lt;50,"Yellow — Elevated Caution",IF(N12&lt;75,"Amber — High Risk","Red — Severe Risk")))</f>
        <v/>
      </c>
      <c r="P12" s="31">
        <f>MIN(100,MAX(0,ROUND((C12*40+E12*20+G12*5+I12*15+K12*20)/100,0)))</f>
        <v/>
      </c>
      <c r="Q12" s="32">
        <f>IF(P12&lt;25,"Green — Normal Operations",IF(P12&lt;50,"Yellow — Elevated Caution",IF(P12&lt;75,"Amber — High Risk","Red — Severe Risk")))</f>
        <v/>
      </c>
      <c r="R12" s="33" t="n"/>
      <c r="S12" s="34">
        <f>IF(R12="","",IF(R12=LEFT(M12,FIND(" ",M12)-1),"Match","Differs"))</f>
        <v/>
      </c>
      <c r="T12" s="33" t="n"/>
      <c r="U12" s="34">
        <f>IF(T12="","",IF(T12=LEFT(O12,FIND(" ",O12)-1),"Match","Differs"))</f>
        <v/>
      </c>
      <c r="V12" s="33" t="n"/>
      <c r="W12" s="34">
        <f>IF(V12="","",IF(V12=LEFT(Q12,FIND(" ",Q12)-1),"Match","Differs"))</f>
        <v/>
      </c>
      <c r="X12" s="35" t="n"/>
    </row>
    <row r="13">
      <c r="A13" s="28" t="inlineStr">
        <is>
          <t>Extreme cold snap, no precip</t>
        </is>
      </c>
      <c r="B13" s="29" t="inlineStr">
        <is>
          <t>None</t>
        </is>
      </c>
      <c r="C13" s="30">
        <f>IFERROR(VLOOKUP(B13,Lists!$AB$2:$AC$5,2,FALSE),0)</f>
        <v/>
      </c>
      <c r="D13" s="29" t="inlineStr">
        <is>
          <t>None</t>
        </is>
      </c>
      <c r="E13" s="30">
        <f>IFERROR(VLOOKUP(D13,Lists!$AE$2:$AF$5,2,FALSE),0)</f>
        <v/>
      </c>
      <c r="F13" s="29" t="inlineStr">
        <is>
          <t>&lt;0°F</t>
        </is>
      </c>
      <c r="G13" s="30">
        <f>IFERROR(VLOOKUP(F13,Lists!$AH$2:$AI$6,2,FALSE),0)</f>
        <v/>
      </c>
      <c r="H13" s="29" t="inlineStr">
        <is>
          <t>30–40 mph</t>
        </is>
      </c>
      <c r="I13" s="30">
        <f>IFERROR(VLOOKUP(H13,Lists!$M$2:$N$6,2,FALSE),0)</f>
        <v/>
      </c>
      <c r="J13" s="29" t="inlineStr">
        <is>
          <t>No</t>
        </is>
      </c>
      <c r="K13" s="30">
        <f>IFERROR(VLOOKUP(J13,Lists!$G$2:$H$3,2,FALSE),0)</f>
        <v/>
      </c>
      <c r="L13" s="31">
        <f>MIN(100,MAX(0,ROUND((C13*50+E13*20+G13*10+I13*5+K13*15)/100,0)))</f>
        <v/>
      </c>
      <c r="M13" s="32">
        <f>IF(L13&lt;25,"Green — Normal Operations",IF(L13&lt;50,"Yellow — Elevated Caution",IF(L13&lt;75,"Amber — High Risk","Red — Severe Risk")))</f>
        <v/>
      </c>
      <c r="N13" s="31">
        <f>MIN(100,MAX(0,ROUND((C13*20+E13*20+G13*30+I13*20+K13*10)/100,0)))</f>
        <v/>
      </c>
      <c r="O13" s="32">
        <f>IF(N13&lt;25,"Green — Normal Operations",IF(N13&lt;50,"Yellow — Elevated Caution",IF(N13&lt;75,"Amber — High Risk","Red — Severe Risk")))</f>
        <v/>
      </c>
      <c r="P13" s="31">
        <f>MIN(100,MAX(0,ROUND((C13*40+E13*20+G13*5+I13*15+K13*20)/100,0)))</f>
        <v/>
      </c>
      <c r="Q13" s="32">
        <f>IF(P13&lt;25,"Green — Normal Operations",IF(P13&lt;50,"Yellow — Elevated Caution",IF(P13&lt;75,"Amber — High Risk","Red — Severe Risk")))</f>
        <v/>
      </c>
      <c r="R13" s="33" t="n"/>
      <c r="S13" s="34">
        <f>IF(R13="","",IF(R13=LEFT(M13,FIND(" ",M13)-1),"Match","Differs"))</f>
        <v/>
      </c>
      <c r="T13" s="33" t="n"/>
      <c r="U13" s="34">
        <f>IF(T13="","",IF(T13=LEFT(O13,FIND(" ",O13)-1),"Match","Differs"))</f>
        <v/>
      </c>
      <c r="V13" s="33" t="n"/>
      <c r="W13" s="34">
        <f>IF(V13="","",IF(V13=LEFT(Q13,FIND(" ",Q13)-1),"Match","Differs"))</f>
        <v/>
      </c>
      <c r="X13" s="35" t="n"/>
    </row>
    <row r="14">
      <c r="A14" s="28" t="inlineStr">
        <is>
          <t>Freeze-thaw only, otherwise mild</t>
        </is>
      </c>
      <c r="B14" s="29" t="inlineStr">
        <is>
          <t>None</t>
        </is>
      </c>
      <c r="C14" s="30">
        <f>IFERROR(VLOOKUP(B14,Lists!$AB$2:$AC$5,2,FALSE),0)</f>
        <v/>
      </c>
      <c r="D14" s="29" t="inlineStr">
        <is>
          <t>None</t>
        </is>
      </c>
      <c r="E14" s="30">
        <f>IFERROR(VLOOKUP(D14,Lists!$AE$2:$AF$5,2,FALSE),0)</f>
        <v/>
      </c>
      <c r="F14" s="29" t="inlineStr">
        <is>
          <t>&gt;32°F</t>
        </is>
      </c>
      <c r="G14" s="30">
        <f>IFERROR(VLOOKUP(F14,Lists!$AH$2:$AI$6,2,FALSE),0)</f>
        <v/>
      </c>
      <c r="H14" s="29" t="inlineStr">
        <is>
          <t>&lt;30 mph</t>
        </is>
      </c>
      <c r="I14" s="30">
        <f>IFERROR(VLOOKUP(H14,Lists!$M$2:$N$6,2,FALSE),0)</f>
        <v/>
      </c>
      <c r="J14" s="29" t="inlineStr">
        <is>
          <t>Yes</t>
        </is>
      </c>
      <c r="K14" s="30">
        <f>IFERROR(VLOOKUP(J14,Lists!$G$2:$H$3,2,FALSE),0)</f>
        <v/>
      </c>
      <c r="L14" s="31">
        <f>MIN(100,MAX(0,ROUND((C14*50+E14*20+G14*10+I14*5+K14*15)/100,0)))</f>
        <v/>
      </c>
      <c r="M14" s="32">
        <f>IF(L14&lt;25,"Green — Normal Operations",IF(L14&lt;50,"Yellow — Elevated Caution",IF(L14&lt;75,"Amber — High Risk","Red — Severe Risk")))</f>
        <v/>
      </c>
      <c r="N14" s="31">
        <f>MIN(100,MAX(0,ROUND((C14*20+E14*20+G14*30+I14*20+K14*10)/100,0)))</f>
        <v/>
      </c>
      <c r="O14" s="32">
        <f>IF(N14&lt;25,"Green — Normal Operations",IF(N14&lt;50,"Yellow — Elevated Caution",IF(N14&lt;75,"Amber — High Risk","Red — Severe Risk")))</f>
        <v/>
      </c>
      <c r="P14" s="31">
        <f>MIN(100,MAX(0,ROUND((C14*40+E14*20+G14*5+I14*15+K14*20)/100,0)))</f>
        <v/>
      </c>
      <c r="Q14" s="32">
        <f>IF(P14&lt;25,"Green — Normal Operations",IF(P14&lt;50,"Yellow — Elevated Caution",IF(P14&lt;75,"Amber — High Risk","Red — Severe Risk")))</f>
        <v/>
      </c>
      <c r="R14" s="33" t="n"/>
      <c r="S14" s="34">
        <f>IF(R14="","",IF(R14=LEFT(M14,FIND(" ",M14)-1),"Match","Differs"))</f>
        <v/>
      </c>
      <c r="T14" s="33" t="n"/>
      <c r="U14" s="34">
        <f>IF(T14="","",IF(T14=LEFT(O14,FIND(" ",O14)-1),"Match","Differs"))</f>
        <v/>
      </c>
      <c r="V14" s="33" t="n"/>
      <c r="W14" s="34">
        <f>IF(V14="","",IF(V14=LEFT(Q14,FIND(" ",Q14)-1),"Match","Differs"))</f>
        <v/>
      </c>
      <c r="X14" s="35" t="n"/>
    </row>
    <row r="15">
      <c r="A15" s="28" t="inlineStr">
        <is>
          <t>Worst case: everything maxed</t>
        </is>
      </c>
      <c r="B15" s="29" t="inlineStr">
        <is>
          <t>&gt;0.25"</t>
        </is>
      </c>
      <c r="C15" s="30">
        <f>IFERROR(VLOOKUP(B15,Lists!$AB$2:$AC$5,2,FALSE),0)</f>
        <v/>
      </c>
      <c r="D15" s="29" t="inlineStr">
        <is>
          <t>&gt;6"</t>
        </is>
      </c>
      <c r="E15" s="30">
        <f>IFERROR(VLOOKUP(D15,Lists!$AE$2:$AF$5,2,FALSE),0)</f>
        <v/>
      </c>
      <c r="F15" s="29" t="inlineStr">
        <is>
          <t>&lt;0°F</t>
        </is>
      </c>
      <c r="G15" s="30">
        <f>IFERROR(VLOOKUP(F15,Lists!$AH$2:$AI$6,2,FALSE),0)</f>
        <v/>
      </c>
      <c r="H15" s="29" t="inlineStr">
        <is>
          <t>&gt;60 mph</t>
        </is>
      </c>
      <c r="I15" s="30">
        <f>IFERROR(VLOOKUP(H15,Lists!$M$2:$N$6,2,FALSE),0)</f>
        <v/>
      </c>
      <c r="J15" s="29" t="inlineStr">
        <is>
          <t>Yes</t>
        </is>
      </c>
      <c r="K15" s="30">
        <f>IFERROR(VLOOKUP(J15,Lists!$G$2:$H$3,2,FALSE),0)</f>
        <v/>
      </c>
      <c r="L15" s="31">
        <f>MIN(100,MAX(0,ROUND((C15*50+E15*20+G15*10+I15*5+K15*15)/100,0)))</f>
        <v/>
      </c>
      <c r="M15" s="32">
        <f>IF(L15&lt;25,"Green — Normal Operations",IF(L15&lt;50,"Yellow — Elevated Caution",IF(L15&lt;75,"Amber — High Risk","Red — Severe Risk")))</f>
        <v/>
      </c>
      <c r="N15" s="31">
        <f>MIN(100,MAX(0,ROUND((C15*20+E15*20+G15*30+I15*20+K15*10)/100,0)))</f>
        <v/>
      </c>
      <c r="O15" s="32">
        <f>IF(N15&lt;25,"Green — Normal Operations",IF(N15&lt;50,"Yellow — Elevated Caution",IF(N15&lt;75,"Amber — High Risk","Red — Severe Risk")))</f>
        <v/>
      </c>
      <c r="P15" s="31">
        <f>MIN(100,MAX(0,ROUND((C15*40+E15*20+G15*5+I15*15+K15*20)/100,0)))</f>
        <v/>
      </c>
      <c r="Q15" s="32">
        <f>IF(P15&lt;25,"Green — Normal Operations",IF(P15&lt;50,"Yellow — Elevated Caution",IF(P15&lt;75,"Amber — High Risk","Red — Severe Risk")))</f>
        <v/>
      </c>
      <c r="R15" s="33" t="n"/>
      <c r="S15" s="34">
        <f>IF(R15="","",IF(R15=LEFT(M15,FIND(" ",M15)-1),"Match","Differs"))</f>
        <v/>
      </c>
      <c r="T15" s="33" t="n"/>
      <c r="U15" s="34">
        <f>IF(T15="","",IF(T15=LEFT(O15,FIND(" ",O15)-1),"Match","Differs"))</f>
        <v/>
      </c>
      <c r="V15" s="33" t="n"/>
      <c r="W15" s="34">
        <f>IF(V15="","",IF(V15=LEFT(Q15,FIND(" ",Q15)-1),"Match","Differs"))</f>
        <v/>
      </c>
      <c r="X15" s="35" t="n"/>
    </row>
  </sheetData>
  <mergeCells count="2">
    <mergeCell ref="A2:X2"/>
    <mergeCell ref="A1:X1"/>
  </mergeCells>
  <conditionalFormatting sqref="M6">
    <cfRule type="expression" priority="1" dxfId="12">
      <formula>ISNUMBER(SEARCH("Green",M6))</formula>
    </cfRule>
    <cfRule type="expression" priority="2" dxfId="13">
      <formula>ISNUMBER(SEARCH("Yellow",M6))</formula>
    </cfRule>
    <cfRule type="expression" priority="3" dxfId="14">
      <formula>ISNUMBER(SEARCH("Amber",M6))</formula>
    </cfRule>
    <cfRule type="expression" priority="4" dxfId="15">
      <formula>ISNUMBER(SEARCH("Red",M6))</formula>
    </cfRule>
  </conditionalFormatting>
  <conditionalFormatting sqref="O6">
    <cfRule type="expression" priority="5" dxfId="12">
      <formula>ISNUMBER(SEARCH("Green",O6))</formula>
    </cfRule>
    <cfRule type="expression" priority="6" dxfId="13">
      <formula>ISNUMBER(SEARCH("Yellow",O6))</formula>
    </cfRule>
    <cfRule type="expression" priority="7" dxfId="14">
      <formula>ISNUMBER(SEARCH("Amber",O6))</formula>
    </cfRule>
    <cfRule type="expression" priority="8" dxfId="15">
      <formula>ISNUMBER(SEARCH("Red",O6))</formula>
    </cfRule>
  </conditionalFormatting>
  <conditionalFormatting sqref="Q6">
    <cfRule type="expression" priority="9" dxfId="12">
      <formula>ISNUMBER(SEARCH("Green",Q6))</formula>
    </cfRule>
    <cfRule type="expression" priority="10" dxfId="13">
      <formula>ISNUMBER(SEARCH("Yellow",Q6))</formula>
    </cfRule>
    <cfRule type="expression" priority="11" dxfId="14">
      <formula>ISNUMBER(SEARCH("Amber",Q6))</formula>
    </cfRule>
    <cfRule type="expression" priority="12" dxfId="15">
      <formula>ISNUMBER(SEARCH("Red",Q6))</formula>
    </cfRule>
  </conditionalFormatting>
  <conditionalFormatting sqref="S6">
    <cfRule type="expression" priority="13" dxfId="12">
      <formula>S6="Match"</formula>
    </cfRule>
    <cfRule type="expression" priority="14" dxfId="15">
      <formula>S6="Differs"</formula>
    </cfRule>
  </conditionalFormatting>
  <conditionalFormatting sqref="U6">
    <cfRule type="expression" priority="15" dxfId="12">
      <formula>U6="Match"</formula>
    </cfRule>
    <cfRule type="expression" priority="16" dxfId="15">
      <formula>U6="Differs"</formula>
    </cfRule>
  </conditionalFormatting>
  <conditionalFormatting sqref="W6">
    <cfRule type="expression" priority="17" dxfId="12">
      <formula>W6="Match"</formula>
    </cfRule>
    <cfRule type="expression" priority="18" dxfId="15">
      <formula>W6="Differs"</formula>
    </cfRule>
  </conditionalFormatting>
  <conditionalFormatting sqref="M7">
    <cfRule type="expression" priority="19" dxfId="12">
      <formula>ISNUMBER(SEARCH("Green",M7))</formula>
    </cfRule>
    <cfRule type="expression" priority="20" dxfId="13">
      <formula>ISNUMBER(SEARCH("Yellow",M7))</formula>
    </cfRule>
    <cfRule type="expression" priority="21" dxfId="14">
      <formula>ISNUMBER(SEARCH("Amber",M7))</formula>
    </cfRule>
    <cfRule type="expression" priority="22" dxfId="15">
      <formula>ISNUMBER(SEARCH("Red",M7))</formula>
    </cfRule>
  </conditionalFormatting>
  <conditionalFormatting sqref="O7">
    <cfRule type="expression" priority="23" dxfId="12">
      <formula>ISNUMBER(SEARCH("Green",O7))</formula>
    </cfRule>
    <cfRule type="expression" priority="24" dxfId="13">
      <formula>ISNUMBER(SEARCH("Yellow",O7))</formula>
    </cfRule>
    <cfRule type="expression" priority="25" dxfId="14">
      <formula>ISNUMBER(SEARCH("Amber",O7))</formula>
    </cfRule>
    <cfRule type="expression" priority="26" dxfId="15">
      <formula>ISNUMBER(SEARCH("Red",O7))</formula>
    </cfRule>
  </conditionalFormatting>
  <conditionalFormatting sqref="Q7">
    <cfRule type="expression" priority="27" dxfId="12">
      <formula>ISNUMBER(SEARCH("Green",Q7))</formula>
    </cfRule>
    <cfRule type="expression" priority="28" dxfId="13">
      <formula>ISNUMBER(SEARCH("Yellow",Q7))</formula>
    </cfRule>
    <cfRule type="expression" priority="29" dxfId="14">
      <formula>ISNUMBER(SEARCH("Amber",Q7))</formula>
    </cfRule>
    <cfRule type="expression" priority="30" dxfId="15">
      <formula>ISNUMBER(SEARCH("Red",Q7))</formula>
    </cfRule>
  </conditionalFormatting>
  <conditionalFormatting sqref="S7">
    <cfRule type="expression" priority="31" dxfId="12">
      <formula>S7="Match"</formula>
    </cfRule>
    <cfRule type="expression" priority="32" dxfId="15">
      <formula>S7="Differs"</formula>
    </cfRule>
  </conditionalFormatting>
  <conditionalFormatting sqref="U7">
    <cfRule type="expression" priority="33" dxfId="12">
      <formula>U7="Match"</formula>
    </cfRule>
    <cfRule type="expression" priority="34" dxfId="15">
      <formula>U7="Differs"</formula>
    </cfRule>
  </conditionalFormatting>
  <conditionalFormatting sqref="W7">
    <cfRule type="expression" priority="35" dxfId="12">
      <formula>W7="Match"</formula>
    </cfRule>
    <cfRule type="expression" priority="36" dxfId="15">
      <formula>W7="Differs"</formula>
    </cfRule>
  </conditionalFormatting>
  <conditionalFormatting sqref="M8">
    <cfRule type="expression" priority="37" dxfId="12">
      <formula>ISNUMBER(SEARCH("Green",M8))</formula>
    </cfRule>
    <cfRule type="expression" priority="38" dxfId="13">
      <formula>ISNUMBER(SEARCH("Yellow",M8))</formula>
    </cfRule>
    <cfRule type="expression" priority="39" dxfId="14">
      <formula>ISNUMBER(SEARCH("Amber",M8))</formula>
    </cfRule>
    <cfRule type="expression" priority="40" dxfId="15">
      <formula>ISNUMBER(SEARCH("Red",M8))</formula>
    </cfRule>
  </conditionalFormatting>
  <conditionalFormatting sqref="O8">
    <cfRule type="expression" priority="41" dxfId="12">
      <formula>ISNUMBER(SEARCH("Green",O8))</formula>
    </cfRule>
    <cfRule type="expression" priority="42" dxfId="13">
      <formula>ISNUMBER(SEARCH("Yellow",O8))</formula>
    </cfRule>
    <cfRule type="expression" priority="43" dxfId="14">
      <formula>ISNUMBER(SEARCH("Amber",O8))</formula>
    </cfRule>
    <cfRule type="expression" priority="44" dxfId="15">
      <formula>ISNUMBER(SEARCH("Red",O8))</formula>
    </cfRule>
  </conditionalFormatting>
  <conditionalFormatting sqref="Q8">
    <cfRule type="expression" priority="45" dxfId="12">
      <formula>ISNUMBER(SEARCH("Green",Q8))</formula>
    </cfRule>
    <cfRule type="expression" priority="46" dxfId="13">
      <formula>ISNUMBER(SEARCH("Yellow",Q8))</formula>
    </cfRule>
    <cfRule type="expression" priority="47" dxfId="14">
      <formula>ISNUMBER(SEARCH("Amber",Q8))</formula>
    </cfRule>
    <cfRule type="expression" priority="48" dxfId="15">
      <formula>ISNUMBER(SEARCH("Red",Q8))</formula>
    </cfRule>
  </conditionalFormatting>
  <conditionalFormatting sqref="S8">
    <cfRule type="expression" priority="49" dxfId="12">
      <formula>S8="Match"</formula>
    </cfRule>
    <cfRule type="expression" priority="50" dxfId="15">
      <formula>S8="Differs"</formula>
    </cfRule>
  </conditionalFormatting>
  <conditionalFormatting sqref="U8">
    <cfRule type="expression" priority="51" dxfId="12">
      <formula>U8="Match"</formula>
    </cfRule>
    <cfRule type="expression" priority="52" dxfId="15">
      <formula>U8="Differs"</formula>
    </cfRule>
  </conditionalFormatting>
  <conditionalFormatting sqref="W8">
    <cfRule type="expression" priority="53" dxfId="12">
      <formula>W8="Match"</formula>
    </cfRule>
    <cfRule type="expression" priority="54" dxfId="15">
      <formula>W8="Differs"</formula>
    </cfRule>
  </conditionalFormatting>
  <conditionalFormatting sqref="M9">
    <cfRule type="expression" priority="55" dxfId="12">
      <formula>ISNUMBER(SEARCH("Green",M9))</formula>
    </cfRule>
    <cfRule type="expression" priority="56" dxfId="13">
      <formula>ISNUMBER(SEARCH("Yellow",M9))</formula>
    </cfRule>
    <cfRule type="expression" priority="57" dxfId="14">
      <formula>ISNUMBER(SEARCH("Amber",M9))</formula>
    </cfRule>
    <cfRule type="expression" priority="58" dxfId="15">
      <formula>ISNUMBER(SEARCH("Red",M9))</formula>
    </cfRule>
  </conditionalFormatting>
  <conditionalFormatting sqref="O9">
    <cfRule type="expression" priority="59" dxfId="12">
      <formula>ISNUMBER(SEARCH("Green",O9))</formula>
    </cfRule>
    <cfRule type="expression" priority="60" dxfId="13">
      <formula>ISNUMBER(SEARCH("Yellow",O9))</formula>
    </cfRule>
    <cfRule type="expression" priority="61" dxfId="14">
      <formula>ISNUMBER(SEARCH("Amber",O9))</formula>
    </cfRule>
    <cfRule type="expression" priority="62" dxfId="15">
      <formula>ISNUMBER(SEARCH("Red",O9))</formula>
    </cfRule>
  </conditionalFormatting>
  <conditionalFormatting sqref="Q9">
    <cfRule type="expression" priority="63" dxfId="12">
      <formula>ISNUMBER(SEARCH("Green",Q9))</formula>
    </cfRule>
    <cfRule type="expression" priority="64" dxfId="13">
      <formula>ISNUMBER(SEARCH("Yellow",Q9))</formula>
    </cfRule>
    <cfRule type="expression" priority="65" dxfId="14">
      <formula>ISNUMBER(SEARCH("Amber",Q9))</formula>
    </cfRule>
    <cfRule type="expression" priority="66" dxfId="15">
      <formula>ISNUMBER(SEARCH("Red",Q9))</formula>
    </cfRule>
  </conditionalFormatting>
  <conditionalFormatting sqref="S9">
    <cfRule type="expression" priority="67" dxfId="12">
      <formula>S9="Match"</formula>
    </cfRule>
    <cfRule type="expression" priority="68" dxfId="15">
      <formula>S9="Differs"</formula>
    </cfRule>
  </conditionalFormatting>
  <conditionalFormatting sqref="U9">
    <cfRule type="expression" priority="69" dxfId="12">
      <formula>U9="Match"</formula>
    </cfRule>
    <cfRule type="expression" priority="70" dxfId="15">
      <formula>U9="Differs"</formula>
    </cfRule>
  </conditionalFormatting>
  <conditionalFormatting sqref="W9">
    <cfRule type="expression" priority="71" dxfId="12">
      <formula>W9="Match"</formula>
    </cfRule>
    <cfRule type="expression" priority="72" dxfId="15">
      <formula>W9="Differs"</formula>
    </cfRule>
  </conditionalFormatting>
  <conditionalFormatting sqref="M10">
    <cfRule type="expression" priority="73" dxfId="12">
      <formula>ISNUMBER(SEARCH("Green",M10))</formula>
    </cfRule>
    <cfRule type="expression" priority="74" dxfId="13">
      <formula>ISNUMBER(SEARCH("Yellow",M10))</formula>
    </cfRule>
    <cfRule type="expression" priority="75" dxfId="14">
      <formula>ISNUMBER(SEARCH("Amber",M10))</formula>
    </cfRule>
    <cfRule type="expression" priority="76" dxfId="15">
      <formula>ISNUMBER(SEARCH("Red",M10))</formula>
    </cfRule>
  </conditionalFormatting>
  <conditionalFormatting sqref="O10">
    <cfRule type="expression" priority="77" dxfId="12">
      <formula>ISNUMBER(SEARCH("Green",O10))</formula>
    </cfRule>
    <cfRule type="expression" priority="78" dxfId="13">
      <formula>ISNUMBER(SEARCH("Yellow",O10))</formula>
    </cfRule>
    <cfRule type="expression" priority="79" dxfId="14">
      <formula>ISNUMBER(SEARCH("Amber",O10))</formula>
    </cfRule>
    <cfRule type="expression" priority="80" dxfId="15">
      <formula>ISNUMBER(SEARCH("Red",O10))</formula>
    </cfRule>
  </conditionalFormatting>
  <conditionalFormatting sqref="Q10">
    <cfRule type="expression" priority="81" dxfId="12">
      <formula>ISNUMBER(SEARCH("Green",Q10))</formula>
    </cfRule>
    <cfRule type="expression" priority="82" dxfId="13">
      <formula>ISNUMBER(SEARCH("Yellow",Q10))</formula>
    </cfRule>
    <cfRule type="expression" priority="83" dxfId="14">
      <formula>ISNUMBER(SEARCH("Amber",Q10))</formula>
    </cfRule>
    <cfRule type="expression" priority="84" dxfId="15">
      <formula>ISNUMBER(SEARCH("Red",Q10))</formula>
    </cfRule>
  </conditionalFormatting>
  <conditionalFormatting sqref="S10">
    <cfRule type="expression" priority="85" dxfId="12">
      <formula>S10="Match"</formula>
    </cfRule>
    <cfRule type="expression" priority="86" dxfId="15">
      <formula>S10="Differs"</formula>
    </cfRule>
  </conditionalFormatting>
  <conditionalFormatting sqref="U10">
    <cfRule type="expression" priority="87" dxfId="12">
      <formula>U10="Match"</formula>
    </cfRule>
    <cfRule type="expression" priority="88" dxfId="15">
      <formula>U10="Differs"</formula>
    </cfRule>
  </conditionalFormatting>
  <conditionalFormatting sqref="W10">
    <cfRule type="expression" priority="89" dxfId="12">
      <formula>W10="Match"</formula>
    </cfRule>
    <cfRule type="expression" priority="90" dxfId="15">
      <formula>W10="Differs"</formula>
    </cfRule>
  </conditionalFormatting>
  <conditionalFormatting sqref="M11">
    <cfRule type="expression" priority="91" dxfId="12">
      <formula>ISNUMBER(SEARCH("Green",M11))</formula>
    </cfRule>
    <cfRule type="expression" priority="92" dxfId="13">
      <formula>ISNUMBER(SEARCH("Yellow",M11))</formula>
    </cfRule>
    <cfRule type="expression" priority="93" dxfId="14">
      <formula>ISNUMBER(SEARCH("Amber",M11))</formula>
    </cfRule>
    <cfRule type="expression" priority="94" dxfId="15">
      <formula>ISNUMBER(SEARCH("Red",M11))</formula>
    </cfRule>
  </conditionalFormatting>
  <conditionalFormatting sqref="O11">
    <cfRule type="expression" priority="95" dxfId="12">
      <formula>ISNUMBER(SEARCH("Green",O11))</formula>
    </cfRule>
    <cfRule type="expression" priority="96" dxfId="13">
      <formula>ISNUMBER(SEARCH("Yellow",O11))</formula>
    </cfRule>
    <cfRule type="expression" priority="97" dxfId="14">
      <formula>ISNUMBER(SEARCH("Amber",O11))</formula>
    </cfRule>
    <cfRule type="expression" priority="98" dxfId="15">
      <formula>ISNUMBER(SEARCH("Red",O11))</formula>
    </cfRule>
  </conditionalFormatting>
  <conditionalFormatting sqref="Q11">
    <cfRule type="expression" priority="99" dxfId="12">
      <formula>ISNUMBER(SEARCH("Green",Q11))</formula>
    </cfRule>
    <cfRule type="expression" priority="100" dxfId="13">
      <formula>ISNUMBER(SEARCH("Yellow",Q11))</formula>
    </cfRule>
    <cfRule type="expression" priority="101" dxfId="14">
      <formula>ISNUMBER(SEARCH("Amber",Q11))</formula>
    </cfRule>
    <cfRule type="expression" priority="102" dxfId="15">
      <formula>ISNUMBER(SEARCH("Red",Q11))</formula>
    </cfRule>
  </conditionalFormatting>
  <conditionalFormatting sqref="S11">
    <cfRule type="expression" priority="103" dxfId="12">
      <formula>S11="Match"</formula>
    </cfRule>
    <cfRule type="expression" priority="104" dxfId="15">
      <formula>S11="Differs"</formula>
    </cfRule>
  </conditionalFormatting>
  <conditionalFormatting sqref="U11">
    <cfRule type="expression" priority="105" dxfId="12">
      <formula>U11="Match"</formula>
    </cfRule>
    <cfRule type="expression" priority="106" dxfId="15">
      <formula>U11="Differs"</formula>
    </cfRule>
  </conditionalFormatting>
  <conditionalFormatting sqref="W11">
    <cfRule type="expression" priority="107" dxfId="12">
      <formula>W11="Match"</formula>
    </cfRule>
    <cfRule type="expression" priority="108" dxfId="15">
      <formula>W11="Differs"</formula>
    </cfRule>
  </conditionalFormatting>
  <conditionalFormatting sqref="M12">
    <cfRule type="expression" priority="109" dxfId="12">
      <formula>ISNUMBER(SEARCH("Green",M12))</formula>
    </cfRule>
    <cfRule type="expression" priority="110" dxfId="13">
      <formula>ISNUMBER(SEARCH("Yellow",M12))</formula>
    </cfRule>
    <cfRule type="expression" priority="111" dxfId="14">
      <formula>ISNUMBER(SEARCH("Amber",M12))</formula>
    </cfRule>
    <cfRule type="expression" priority="112" dxfId="15">
      <formula>ISNUMBER(SEARCH("Red",M12))</formula>
    </cfRule>
  </conditionalFormatting>
  <conditionalFormatting sqref="O12">
    <cfRule type="expression" priority="113" dxfId="12">
      <formula>ISNUMBER(SEARCH("Green",O12))</formula>
    </cfRule>
    <cfRule type="expression" priority="114" dxfId="13">
      <formula>ISNUMBER(SEARCH("Yellow",O12))</formula>
    </cfRule>
    <cfRule type="expression" priority="115" dxfId="14">
      <formula>ISNUMBER(SEARCH("Amber",O12))</formula>
    </cfRule>
    <cfRule type="expression" priority="116" dxfId="15">
      <formula>ISNUMBER(SEARCH("Red",O12))</formula>
    </cfRule>
  </conditionalFormatting>
  <conditionalFormatting sqref="Q12">
    <cfRule type="expression" priority="117" dxfId="12">
      <formula>ISNUMBER(SEARCH("Green",Q12))</formula>
    </cfRule>
    <cfRule type="expression" priority="118" dxfId="13">
      <formula>ISNUMBER(SEARCH("Yellow",Q12))</formula>
    </cfRule>
    <cfRule type="expression" priority="119" dxfId="14">
      <formula>ISNUMBER(SEARCH("Amber",Q12))</formula>
    </cfRule>
    <cfRule type="expression" priority="120" dxfId="15">
      <formula>ISNUMBER(SEARCH("Red",Q12))</formula>
    </cfRule>
  </conditionalFormatting>
  <conditionalFormatting sqref="S12">
    <cfRule type="expression" priority="121" dxfId="12">
      <formula>S12="Match"</formula>
    </cfRule>
    <cfRule type="expression" priority="122" dxfId="15">
      <formula>S12="Differs"</formula>
    </cfRule>
  </conditionalFormatting>
  <conditionalFormatting sqref="U12">
    <cfRule type="expression" priority="123" dxfId="12">
      <formula>U12="Match"</formula>
    </cfRule>
    <cfRule type="expression" priority="124" dxfId="15">
      <formula>U12="Differs"</formula>
    </cfRule>
  </conditionalFormatting>
  <conditionalFormatting sqref="W12">
    <cfRule type="expression" priority="125" dxfId="12">
      <formula>W12="Match"</formula>
    </cfRule>
    <cfRule type="expression" priority="126" dxfId="15">
      <formula>W12="Differs"</formula>
    </cfRule>
  </conditionalFormatting>
  <conditionalFormatting sqref="M13">
    <cfRule type="expression" priority="127" dxfId="12">
      <formula>ISNUMBER(SEARCH("Green",M13))</formula>
    </cfRule>
    <cfRule type="expression" priority="128" dxfId="13">
      <formula>ISNUMBER(SEARCH("Yellow",M13))</formula>
    </cfRule>
    <cfRule type="expression" priority="129" dxfId="14">
      <formula>ISNUMBER(SEARCH("Amber",M13))</formula>
    </cfRule>
    <cfRule type="expression" priority="130" dxfId="15">
      <formula>ISNUMBER(SEARCH("Red",M13))</formula>
    </cfRule>
  </conditionalFormatting>
  <conditionalFormatting sqref="O13">
    <cfRule type="expression" priority="131" dxfId="12">
      <formula>ISNUMBER(SEARCH("Green",O13))</formula>
    </cfRule>
    <cfRule type="expression" priority="132" dxfId="13">
      <formula>ISNUMBER(SEARCH("Yellow",O13))</formula>
    </cfRule>
    <cfRule type="expression" priority="133" dxfId="14">
      <formula>ISNUMBER(SEARCH("Amber",O13))</formula>
    </cfRule>
    <cfRule type="expression" priority="134" dxfId="15">
      <formula>ISNUMBER(SEARCH("Red",O13))</formula>
    </cfRule>
  </conditionalFormatting>
  <conditionalFormatting sqref="Q13">
    <cfRule type="expression" priority="135" dxfId="12">
      <formula>ISNUMBER(SEARCH("Green",Q13))</formula>
    </cfRule>
    <cfRule type="expression" priority="136" dxfId="13">
      <formula>ISNUMBER(SEARCH("Yellow",Q13))</formula>
    </cfRule>
    <cfRule type="expression" priority="137" dxfId="14">
      <formula>ISNUMBER(SEARCH("Amber",Q13))</formula>
    </cfRule>
    <cfRule type="expression" priority="138" dxfId="15">
      <formula>ISNUMBER(SEARCH("Red",Q13))</formula>
    </cfRule>
  </conditionalFormatting>
  <conditionalFormatting sqref="S13">
    <cfRule type="expression" priority="139" dxfId="12">
      <formula>S13="Match"</formula>
    </cfRule>
    <cfRule type="expression" priority="140" dxfId="15">
      <formula>S13="Differs"</formula>
    </cfRule>
  </conditionalFormatting>
  <conditionalFormatting sqref="U13">
    <cfRule type="expression" priority="141" dxfId="12">
      <formula>U13="Match"</formula>
    </cfRule>
    <cfRule type="expression" priority="142" dxfId="15">
      <formula>U13="Differs"</formula>
    </cfRule>
  </conditionalFormatting>
  <conditionalFormatting sqref="W13">
    <cfRule type="expression" priority="143" dxfId="12">
      <formula>W13="Match"</formula>
    </cfRule>
    <cfRule type="expression" priority="144" dxfId="15">
      <formula>W13="Differs"</formula>
    </cfRule>
  </conditionalFormatting>
  <conditionalFormatting sqref="M14">
    <cfRule type="expression" priority="145" dxfId="12">
      <formula>ISNUMBER(SEARCH("Green",M14))</formula>
    </cfRule>
    <cfRule type="expression" priority="146" dxfId="13">
      <formula>ISNUMBER(SEARCH("Yellow",M14))</formula>
    </cfRule>
    <cfRule type="expression" priority="147" dxfId="14">
      <formula>ISNUMBER(SEARCH("Amber",M14))</formula>
    </cfRule>
    <cfRule type="expression" priority="148" dxfId="15">
      <formula>ISNUMBER(SEARCH("Red",M14))</formula>
    </cfRule>
  </conditionalFormatting>
  <conditionalFormatting sqref="O14">
    <cfRule type="expression" priority="149" dxfId="12">
      <formula>ISNUMBER(SEARCH("Green",O14))</formula>
    </cfRule>
    <cfRule type="expression" priority="150" dxfId="13">
      <formula>ISNUMBER(SEARCH("Yellow",O14))</formula>
    </cfRule>
    <cfRule type="expression" priority="151" dxfId="14">
      <formula>ISNUMBER(SEARCH("Amber",O14))</formula>
    </cfRule>
    <cfRule type="expression" priority="152" dxfId="15">
      <formula>ISNUMBER(SEARCH("Red",O14))</formula>
    </cfRule>
  </conditionalFormatting>
  <conditionalFormatting sqref="Q14">
    <cfRule type="expression" priority="153" dxfId="12">
      <formula>ISNUMBER(SEARCH("Green",Q14))</formula>
    </cfRule>
    <cfRule type="expression" priority="154" dxfId="13">
      <formula>ISNUMBER(SEARCH("Yellow",Q14))</formula>
    </cfRule>
    <cfRule type="expression" priority="155" dxfId="14">
      <formula>ISNUMBER(SEARCH("Amber",Q14))</formula>
    </cfRule>
    <cfRule type="expression" priority="156" dxfId="15">
      <formula>ISNUMBER(SEARCH("Red",Q14))</formula>
    </cfRule>
  </conditionalFormatting>
  <conditionalFormatting sqref="S14">
    <cfRule type="expression" priority="157" dxfId="12">
      <formula>S14="Match"</formula>
    </cfRule>
    <cfRule type="expression" priority="158" dxfId="15">
      <formula>S14="Differs"</formula>
    </cfRule>
  </conditionalFormatting>
  <conditionalFormatting sqref="U14">
    <cfRule type="expression" priority="159" dxfId="12">
      <formula>U14="Match"</formula>
    </cfRule>
    <cfRule type="expression" priority="160" dxfId="15">
      <formula>U14="Differs"</formula>
    </cfRule>
  </conditionalFormatting>
  <conditionalFormatting sqref="W14">
    <cfRule type="expression" priority="161" dxfId="12">
      <formula>W14="Match"</formula>
    </cfRule>
    <cfRule type="expression" priority="162" dxfId="15">
      <formula>W14="Differs"</formula>
    </cfRule>
  </conditionalFormatting>
  <conditionalFormatting sqref="M15">
    <cfRule type="expression" priority="163" dxfId="12">
      <formula>ISNUMBER(SEARCH("Green",M15))</formula>
    </cfRule>
    <cfRule type="expression" priority="164" dxfId="13">
      <formula>ISNUMBER(SEARCH("Yellow",M15))</formula>
    </cfRule>
    <cfRule type="expression" priority="165" dxfId="14">
      <formula>ISNUMBER(SEARCH("Amber",M15))</formula>
    </cfRule>
    <cfRule type="expression" priority="166" dxfId="15">
      <formula>ISNUMBER(SEARCH("Red",M15))</formula>
    </cfRule>
  </conditionalFormatting>
  <conditionalFormatting sqref="O15">
    <cfRule type="expression" priority="167" dxfId="12">
      <formula>ISNUMBER(SEARCH("Green",O15))</formula>
    </cfRule>
    <cfRule type="expression" priority="168" dxfId="13">
      <formula>ISNUMBER(SEARCH("Yellow",O15))</formula>
    </cfRule>
    <cfRule type="expression" priority="169" dxfId="14">
      <formula>ISNUMBER(SEARCH("Amber",O15))</formula>
    </cfRule>
    <cfRule type="expression" priority="170" dxfId="15">
      <formula>ISNUMBER(SEARCH("Red",O15))</formula>
    </cfRule>
  </conditionalFormatting>
  <conditionalFormatting sqref="Q15">
    <cfRule type="expression" priority="171" dxfId="12">
      <formula>ISNUMBER(SEARCH("Green",Q15))</formula>
    </cfRule>
    <cfRule type="expression" priority="172" dxfId="13">
      <formula>ISNUMBER(SEARCH("Yellow",Q15))</formula>
    </cfRule>
    <cfRule type="expression" priority="173" dxfId="14">
      <formula>ISNUMBER(SEARCH("Amber",Q15))</formula>
    </cfRule>
    <cfRule type="expression" priority="174" dxfId="15">
      <formula>ISNUMBER(SEARCH("Red",Q15))</formula>
    </cfRule>
  </conditionalFormatting>
  <conditionalFormatting sqref="S15">
    <cfRule type="expression" priority="175" dxfId="12">
      <formula>S15="Match"</formula>
    </cfRule>
    <cfRule type="expression" priority="176" dxfId="15">
      <formula>S15="Differs"</formula>
    </cfRule>
  </conditionalFormatting>
  <conditionalFormatting sqref="U15">
    <cfRule type="expression" priority="177" dxfId="12">
      <formula>U15="Match"</formula>
    </cfRule>
    <cfRule type="expression" priority="178" dxfId="15">
      <formula>U15="Differs"</formula>
    </cfRule>
  </conditionalFormatting>
  <conditionalFormatting sqref="W15">
    <cfRule type="expression" priority="179" dxfId="12">
      <formula>W15="Match"</formula>
    </cfRule>
    <cfRule type="expression" priority="180" dxfId="15">
      <formula>W15="Differs"</formula>
    </cfRule>
  </conditionalFormatting>
  <dataValidations count="80">
    <dataValidation sqref="B6" showDropDown="0" showInputMessage="0" showErrorMessage="0" allowBlank="1" type="list">
      <formula1>Lists!$AB$2:$AB$5</formula1>
    </dataValidation>
    <dataValidation sqref="D6" showDropDown="0" showInputMessage="0" showErrorMessage="0" allowBlank="1" type="list">
      <formula1>Lists!$AE$2:$AE$5</formula1>
    </dataValidation>
    <dataValidation sqref="F6" showDropDown="0" showInputMessage="0" showErrorMessage="0" allowBlank="1" type="list">
      <formula1>Lists!$AH$2:$AH$6</formula1>
    </dataValidation>
    <dataValidation sqref="H6" showDropDown="0" showInputMessage="0" showErrorMessage="0" allowBlank="1" type="list">
      <formula1>Lists!$M$2:$M$6</formula1>
    </dataValidation>
    <dataValidation sqref="J6" showDropDown="0" showInputMessage="0" showErrorMessage="0" allowBlank="1" type="list">
      <formula1>Lists!$G$2:$G$3</formula1>
    </dataValidation>
    <dataValidation sqref="R6" showDropDown="0" showInputMessage="0" showErrorMessage="0" allowBlank="1" type="list">
      <formula1>"Green,Yellow,Amber,Red"</formula1>
    </dataValidation>
    <dataValidation sqref="T6" showDropDown="0" showInputMessage="0" showErrorMessage="0" allowBlank="1" type="list">
      <formula1>"Green,Yellow,Amber,Red"</formula1>
    </dataValidation>
    <dataValidation sqref="V6" showDropDown="0" showInputMessage="0" showErrorMessage="0" allowBlank="1" type="list">
      <formula1>"Green,Yellow,Amber,Red"</formula1>
    </dataValidation>
    <dataValidation sqref="B7" showDropDown="0" showInputMessage="0" showErrorMessage="0" allowBlank="1" type="list">
      <formula1>Lists!$AB$2:$AB$5</formula1>
    </dataValidation>
    <dataValidation sqref="D7" showDropDown="0" showInputMessage="0" showErrorMessage="0" allowBlank="1" type="list">
      <formula1>Lists!$AE$2:$AE$5</formula1>
    </dataValidation>
    <dataValidation sqref="F7" showDropDown="0" showInputMessage="0" showErrorMessage="0" allowBlank="1" type="list">
      <formula1>Lists!$AH$2:$AH$6</formula1>
    </dataValidation>
    <dataValidation sqref="H7" showDropDown="0" showInputMessage="0" showErrorMessage="0" allowBlank="1" type="list">
      <formula1>Lists!$M$2:$M$6</formula1>
    </dataValidation>
    <dataValidation sqref="J7" showDropDown="0" showInputMessage="0" showErrorMessage="0" allowBlank="1" type="list">
      <formula1>Lists!$G$2:$G$3</formula1>
    </dataValidation>
    <dataValidation sqref="R7" showDropDown="0" showInputMessage="0" showErrorMessage="0" allowBlank="1" type="list">
      <formula1>"Green,Yellow,Amber,Red"</formula1>
    </dataValidation>
    <dataValidation sqref="T7" showDropDown="0" showInputMessage="0" showErrorMessage="0" allowBlank="1" type="list">
      <formula1>"Green,Yellow,Amber,Red"</formula1>
    </dataValidation>
    <dataValidation sqref="V7" showDropDown="0" showInputMessage="0" showErrorMessage="0" allowBlank="1" type="list">
      <formula1>"Green,Yellow,Amber,Red"</formula1>
    </dataValidation>
    <dataValidation sqref="B8" showDropDown="0" showInputMessage="0" showErrorMessage="0" allowBlank="1" type="list">
      <formula1>Lists!$AB$2:$AB$5</formula1>
    </dataValidation>
    <dataValidation sqref="D8" showDropDown="0" showInputMessage="0" showErrorMessage="0" allowBlank="1" type="list">
      <formula1>Lists!$AE$2:$AE$5</formula1>
    </dataValidation>
    <dataValidation sqref="F8" showDropDown="0" showInputMessage="0" showErrorMessage="0" allowBlank="1" type="list">
      <formula1>Lists!$AH$2:$AH$6</formula1>
    </dataValidation>
    <dataValidation sqref="H8" showDropDown="0" showInputMessage="0" showErrorMessage="0" allowBlank="1" type="list">
      <formula1>Lists!$M$2:$M$6</formula1>
    </dataValidation>
    <dataValidation sqref="J8" showDropDown="0" showInputMessage="0" showErrorMessage="0" allowBlank="1" type="list">
      <formula1>Lists!$G$2:$G$3</formula1>
    </dataValidation>
    <dataValidation sqref="R8" showDropDown="0" showInputMessage="0" showErrorMessage="0" allowBlank="1" type="list">
      <formula1>"Green,Yellow,Amber,Red"</formula1>
    </dataValidation>
    <dataValidation sqref="T8" showDropDown="0" showInputMessage="0" showErrorMessage="0" allowBlank="1" type="list">
      <formula1>"Green,Yellow,Amber,Red"</formula1>
    </dataValidation>
    <dataValidation sqref="V8" showDropDown="0" showInputMessage="0" showErrorMessage="0" allowBlank="1" type="list">
      <formula1>"Green,Yellow,Amber,Red"</formula1>
    </dataValidation>
    <dataValidation sqref="B9" showDropDown="0" showInputMessage="0" showErrorMessage="0" allowBlank="1" type="list">
      <formula1>Lists!$AB$2:$AB$5</formula1>
    </dataValidation>
    <dataValidation sqref="D9" showDropDown="0" showInputMessage="0" showErrorMessage="0" allowBlank="1" type="list">
      <formula1>Lists!$AE$2:$AE$5</formula1>
    </dataValidation>
    <dataValidation sqref="F9" showDropDown="0" showInputMessage="0" showErrorMessage="0" allowBlank="1" type="list">
      <formula1>Lists!$AH$2:$AH$6</formula1>
    </dataValidation>
    <dataValidation sqref="H9" showDropDown="0" showInputMessage="0" showErrorMessage="0" allowBlank="1" type="list">
      <formula1>Lists!$M$2:$M$6</formula1>
    </dataValidation>
    <dataValidation sqref="J9" showDropDown="0" showInputMessage="0" showErrorMessage="0" allowBlank="1" type="list">
      <formula1>Lists!$G$2:$G$3</formula1>
    </dataValidation>
    <dataValidation sqref="R9" showDropDown="0" showInputMessage="0" showErrorMessage="0" allowBlank="1" type="list">
      <formula1>"Green,Yellow,Amber,Red"</formula1>
    </dataValidation>
    <dataValidation sqref="T9" showDropDown="0" showInputMessage="0" showErrorMessage="0" allowBlank="1" type="list">
      <formula1>"Green,Yellow,Amber,Red"</formula1>
    </dataValidation>
    <dataValidation sqref="V9" showDropDown="0" showInputMessage="0" showErrorMessage="0" allowBlank="1" type="list">
      <formula1>"Green,Yellow,Amber,Red"</formula1>
    </dataValidation>
    <dataValidation sqref="B10" showDropDown="0" showInputMessage="0" showErrorMessage="0" allowBlank="1" type="list">
      <formula1>Lists!$AB$2:$AB$5</formula1>
    </dataValidation>
    <dataValidation sqref="D10" showDropDown="0" showInputMessage="0" showErrorMessage="0" allowBlank="1" type="list">
      <formula1>Lists!$AE$2:$AE$5</formula1>
    </dataValidation>
    <dataValidation sqref="F10" showDropDown="0" showInputMessage="0" showErrorMessage="0" allowBlank="1" type="list">
      <formula1>Lists!$AH$2:$AH$6</formula1>
    </dataValidation>
    <dataValidation sqref="H10" showDropDown="0" showInputMessage="0" showErrorMessage="0" allowBlank="1" type="list">
      <formula1>Lists!$M$2:$M$6</formula1>
    </dataValidation>
    <dataValidation sqref="J10" showDropDown="0" showInputMessage="0" showErrorMessage="0" allowBlank="1" type="list">
      <formula1>Lists!$G$2:$G$3</formula1>
    </dataValidation>
    <dataValidation sqref="R10" showDropDown="0" showInputMessage="0" showErrorMessage="0" allowBlank="1" type="list">
      <formula1>"Green,Yellow,Amber,Red"</formula1>
    </dataValidation>
    <dataValidation sqref="T10" showDropDown="0" showInputMessage="0" showErrorMessage="0" allowBlank="1" type="list">
      <formula1>"Green,Yellow,Amber,Red"</formula1>
    </dataValidation>
    <dataValidation sqref="V10" showDropDown="0" showInputMessage="0" showErrorMessage="0" allowBlank="1" type="list">
      <formula1>"Green,Yellow,Amber,Red"</formula1>
    </dataValidation>
    <dataValidation sqref="B11" showDropDown="0" showInputMessage="0" showErrorMessage="0" allowBlank="1" type="list">
      <formula1>Lists!$AB$2:$AB$5</formula1>
    </dataValidation>
    <dataValidation sqref="D11" showDropDown="0" showInputMessage="0" showErrorMessage="0" allowBlank="1" type="list">
      <formula1>Lists!$AE$2:$AE$5</formula1>
    </dataValidation>
    <dataValidation sqref="F11" showDropDown="0" showInputMessage="0" showErrorMessage="0" allowBlank="1" type="list">
      <formula1>Lists!$AH$2:$AH$6</formula1>
    </dataValidation>
    <dataValidation sqref="H11" showDropDown="0" showInputMessage="0" showErrorMessage="0" allowBlank="1" type="list">
      <formula1>Lists!$M$2:$M$6</formula1>
    </dataValidation>
    <dataValidation sqref="J11" showDropDown="0" showInputMessage="0" showErrorMessage="0" allowBlank="1" type="list">
      <formula1>Lists!$G$2:$G$3</formula1>
    </dataValidation>
    <dataValidation sqref="R11" showDropDown="0" showInputMessage="0" showErrorMessage="0" allowBlank="1" type="list">
      <formula1>"Green,Yellow,Amber,Red"</formula1>
    </dataValidation>
    <dataValidation sqref="T11" showDropDown="0" showInputMessage="0" showErrorMessage="0" allowBlank="1" type="list">
      <formula1>"Green,Yellow,Amber,Red"</formula1>
    </dataValidation>
    <dataValidation sqref="V11" showDropDown="0" showInputMessage="0" showErrorMessage="0" allowBlank="1" type="list">
      <formula1>"Green,Yellow,Amber,Red"</formula1>
    </dataValidation>
    <dataValidation sqref="B12" showDropDown="0" showInputMessage="0" showErrorMessage="0" allowBlank="1" type="list">
      <formula1>Lists!$AB$2:$AB$5</formula1>
    </dataValidation>
    <dataValidation sqref="D12" showDropDown="0" showInputMessage="0" showErrorMessage="0" allowBlank="1" type="list">
      <formula1>Lists!$AE$2:$AE$5</formula1>
    </dataValidation>
    <dataValidation sqref="F12" showDropDown="0" showInputMessage="0" showErrorMessage="0" allowBlank="1" type="list">
      <formula1>Lists!$AH$2:$AH$6</formula1>
    </dataValidation>
    <dataValidation sqref="H12" showDropDown="0" showInputMessage="0" showErrorMessage="0" allowBlank="1" type="list">
      <formula1>Lists!$M$2:$M$6</formula1>
    </dataValidation>
    <dataValidation sqref="J12" showDropDown="0" showInputMessage="0" showErrorMessage="0" allowBlank="1" type="list">
      <formula1>Lists!$G$2:$G$3</formula1>
    </dataValidation>
    <dataValidation sqref="R12" showDropDown="0" showInputMessage="0" showErrorMessage="0" allowBlank="1" type="list">
      <formula1>"Green,Yellow,Amber,Red"</formula1>
    </dataValidation>
    <dataValidation sqref="T12" showDropDown="0" showInputMessage="0" showErrorMessage="0" allowBlank="1" type="list">
      <formula1>"Green,Yellow,Amber,Red"</formula1>
    </dataValidation>
    <dataValidation sqref="V12" showDropDown="0" showInputMessage="0" showErrorMessage="0" allowBlank="1" type="list">
      <formula1>"Green,Yellow,Amber,Red"</formula1>
    </dataValidation>
    <dataValidation sqref="B13" showDropDown="0" showInputMessage="0" showErrorMessage="0" allowBlank="1" type="list">
      <formula1>Lists!$AB$2:$AB$5</formula1>
    </dataValidation>
    <dataValidation sqref="D13" showDropDown="0" showInputMessage="0" showErrorMessage="0" allowBlank="1" type="list">
      <formula1>Lists!$AE$2:$AE$5</formula1>
    </dataValidation>
    <dataValidation sqref="F13" showDropDown="0" showInputMessage="0" showErrorMessage="0" allowBlank="1" type="list">
      <formula1>Lists!$AH$2:$AH$6</formula1>
    </dataValidation>
    <dataValidation sqref="H13" showDropDown="0" showInputMessage="0" showErrorMessage="0" allowBlank="1" type="list">
      <formula1>Lists!$M$2:$M$6</formula1>
    </dataValidation>
    <dataValidation sqref="J13" showDropDown="0" showInputMessage="0" showErrorMessage="0" allowBlank="1" type="list">
      <formula1>Lists!$G$2:$G$3</formula1>
    </dataValidation>
    <dataValidation sqref="R13" showDropDown="0" showInputMessage="0" showErrorMessage="0" allowBlank="1" type="list">
      <formula1>"Green,Yellow,Amber,Red"</formula1>
    </dataValidation>
    <dataValidation sqref="T13" showDropDown="0" showInputMessage="0" showErrorMessage="0" allowBlank="1" type="list">
      <formula1>"Green,Yellow,Amber,Red"</formula1>
    </dataValidation>
    <dataValidation sqref="V13" showDropDown="0" showInputMessage="0" showErrorMessage="0" allowBlank="1" type="list">
      <formula1>"Green,Yellow,Amber,Red"</formula1>
    </dataValidation>
    <dataValidation sqref="B14" showDropDown="0" showInputMessage="0" showErrorMessage="0" allowBlank="1" type="list">
      <formula1>Lists!$AB$2:$AB$5</formula1>
    </dataValidation>
    <dataValidation sqref="D14" showDropDown="0" showInputMessage="0" showErrorMessage="0" allowBlank="1" type="list">
      <formula1>Lists!$AE$2:$AE$5</formula1>
    </dataValidation>
    <dataValidation sqref="F14" showDropDown="0" showInputMessage="0" showErrorMessage="0" allowBlank="1" type="list">
      <formula1>Lists!$AH$2:$AH$6</formula1>
    </dataValidation>
    <dataValidation sqref="H14" showDropDown="0" showInputMessage="0" showErrorMessage="0" allowBlank="1" type="list">
      <formula1>Lists!$M$2:$M$6</formula1>
    </dataValidation>
    <dataValidation sqref="J14" showDropDown="0" showInputMessage="0" showErrorMessage="0" allowBlank="1" type="list">
      <formula1>Lists!$G$2:$G$3</formula1>
    </dataValidation>
    <dataValidation sqref="R14" showDropDown="0" showInputMessage="0" showErrorMessage="0" allowBlank="1" type="list">
      <formula1>"Green,Yellow,Amber,Red"</formula1>
    </dataValidation>
    <dataValidation sqref="T14" showDropDown="0" showInputMessage="0" showErrorMessage="0" allowBlank="1" type="list">
      <formula1>"Green,Yellow,Amber,Red"</formula1>
    </dataValidation>
    <dataValidation sqref="V14" showDropDown="0" showInputMessage="0" showErrorMessage="0" allowBlank="1" type="list">
      <formula1>"Green,Yellow,Amber,Red"</formula1>
    </dataValidation>
    <dataValidation sqref="B15" showDropDown="0" showInputMessage="0" showErrorMessage="0" allowBlank="1" type="list">
      <formula1>Lists!$AB$2:$AB$5</formula1>
    </dataValidation>
    <dataValidation sqref="D15" showDropDown="0" showInputMessage="0" showErrorMessage="0" allowBlank="1" type="list">
      <formula1>Lists!$AE$2:$AE$5</formula1>
    </dataValidation>
    <dataValidation sqref="F15" showDropDown="0" showInputMessage="0" showErrorMessage="0" allowBlank="1" type="list">
      <formula1>Lists!$AH$2:$AH$6</formula1>
    </dataValidation>
    <dataValidation sqref="H15" showDropDown="0" showInputMessage="0" showErrorMessage="0" allowBlank="1" type="list">
      <formula1>Lists!$M$2:$M$6</formula1>
    </dataValidation>
    <dataValidation sqref="J15" showDropDown="0" showInputMessage="0" showErrorMessage="0" allowBlank="1" type="list">
      <formula1>Lists!$G$2:$G$3</formula1>
    </dataValidation>
    <dataValidation sqref="R15" showDropDown="0" showInputMessage="0" showErrorMessage="0" allowBlank="1" type="list">
      <formula1>"Green,Yellow,Amber,Red"</formula1>
    </dataValidation>
    <dataValidation sqref="T15" showDropDown="0" showInputMessage="0" showErrorMessage="0" allowBlank="1" type="list">
      <formula1>"Green,Yellow,Amber,Red"</formula1>
    </dataValidation>
    <dataValidation sqref="V15" showDropDown="0" showInputMessage="0" showErrorMessage="0" allowBlank="1" type="list">
      <formula1>"Green,Yellow,Amber,Red"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6"/>
  <sheetViews>
    <sheetView tabSelected="0" workbookViewId="0">
      <selection activeCell="A1" sqref="A1"/>
    </sheetView>
  </sheetViews>
  <sheetFormatPr baseColWidth="10" defaultColWidth="8.83203125" defaultRowHeight="15"/>
  <cols>
    <col width="22" customWidth="1" style="22" min="1" max="1"/>
  </cols>
  <sheetData>
    <row r="1">
      <c r="A1" t="inlineStr">
        <is>
          <t>Rain</t>
        </is>
      </c>
      <c r="B1" t="inlineStr">
        <is>
          <t>Rain pts</t>
        </is>
      </c>
      <c r="D1" t="inlineStr">
        <is>
          <t>Hail</t>
        </is>
      </c>
      <c r="E1" t="inlineStr">
        <is>
          <t>Hail pts</t>
        </is>
      </c>
      <c r="G1" t="inlineStr">
        <is>
          <t>Yes/No</t>
        </is>
      </c>
      <c r="H1" t="inlineStr">
        <is>
          <t>Yes/No pts</t>
        </is>
      </c>
      <c r="J1" t="inlineStr">
        <is>
          <t>Sustained Wind (Severe)</t>
        </is>
      </c>
      <c r="K1" t="inlineStr">
        <is>
          <t>Sustained Wind (Severe) pts</t>
        </is>
      </c>
      <c r="M1" t="inlineStr">
        <is>
          <t>Max Wind Gust</t>
        </is>
      </c>
      <c r="N1" t="inlineStr">
        <is>
          <t>Max Wind Gust pts</t>
        </is>
      </c>
      <c r="P1" t="inlineStr">
        <is>
          <t>WBGT</t>
        </is>
      </c>
      <c r="Q1" t="inlineStr">
        <is>
          <t>WBGT pts</t>
        </is>
      </c>
      <c r="S1" t="inlineStr">
        <is>
          <t>Heat Index</t>
        </is>
      </c>
      <c r="T1" t="inlineStr">
        <is>
          <t>Heat Index pts</t>
        </is>
      </c>
      <c r="V1" t="inlineStr">
        <is>
          <t>Sustained Wind (Heat)</t>
        </is>
      </c>
      <c r="W1" t="inlineStr">
        <is>
          <t>Sustained Wind (Heat) pts</t>
        </is>
      </c>
      <c r="Y1" t="inlineStr">
        <is>
          <t>Heat Data Source</t>
        </is>
      </c>
      <c r="Z1" t="inlineStr">
        <is>
          <t>Heat Data Source pts</t>
        </is>
      </c>
      <c r="AB1" t="inlineStr">
        <is>
          <t>Ice Accumulation</t>
        </is>
      </c>
      <c r="AC1" t="inlineStr">
        <is>
          <t>Ice Accumulation pts</t>
        </is>
      </c>
      <c r="AE1" t="inlineStr">
        <is>
          <t>Snow Accumulation</t>
        </is>
      </c>
      <c r="AF1" t="inlineStr">
        <is>
          <t>Snow Accumulation pts</t>
        </is>
      </c>
      <c r="AH1" t="inlineStr">
        <is>
          <t>Wind Chill</t>
        </is>
      </c>
      <c r="AI1" t="inlineStr">
        <is>
          <t>Wind Chill pts</t>
        </is>
      </c>
    </row>
    <row r="2">
      <c r="A2" t="inlineStr">
        <is>
          <t>None</t>
        </is>
      </c>
      <c r="B2" t="n">
        <v>0</v>
      </c>
      <c r="D2" t="inlineStr">
        <is>
          <t>None</t>
        </is>
      </c>
      <c r="E2" t="n">
        <v>0</v>
      </c>
      <c r="G2" t="inlineStr">
        <is>
          <t>No</t>
        </is>
      </c>
      <c r="H2" t="n">
        <v>0</v>
      </c>
      <c r="J2" t="inlineStr">
        <is>
          <t>&lt;20 mph</t>
        </is>
      </c>
      <c r="K2" t="n">
        <v>0</v>
      </c>
      <c r="M2" t="inlineStr">
        <is>
          <t>&lt;30 mph</t>
        </is>
      </c>
      <c r="N2" t="n">
        <v>0</v>
      </c>
      <c r="P2" t="inlineStr">
        <is>
          <t>&lt;82.0°F</t>
        </is>
      </c>
      <c r="Q2" t="n">
        <v>0</v>
      </c>
      <c r="S2" t="inlineStr">
        <is>
          <t>&lt;90°F</t>
        </is>
      </c>
      <c r="T2" t="n">
        <v>0</v>
      </c>
      <c r="V2" t="inlineStr">
        <is>
          <t>&lt;20 mph</t>
        </is>
      </c>
      <c r="W2" t="n">
        <v>0</v>
      </c>
      <c r="Y2" t="inlineStr">
        <is>
          <t>WBGT</t>
        </is>
      </c>
      <c r="Z2" t="n">
        <v>0</v>
      </c>
      <c r="AB2" t="inlineStr">
        <is>
          <t>None</t>
        </is>
      </c>
      <c r="AC2" t="n">
        <v>0</v>
      </c>
      <c r="AE2" t="inlineStr">
        <is>
          <t>None</t>
        </is>
      </c>
      <c r="AF2" t="n">
        <v>0</v>
      </c>
      <c r="AH2" t="inlineStr">
        <is>
          <t>&gt;32°F</t>
        </is>
      </c>
      <c r="AI2" t="n">
        <v>0</v>
      </c>
    </row>
    <row r="3">
      <c r="A3" t="inlineStr">
        <is>
          <t>0.01–0.75"</t>
        </is>
      </c>
      <c r="B3" t="n">
        <v>33</v>
      </c>
      <c r="D3" t="inlineStr">
        <is>
          <t>&lt;1" diameter</t>
        </is>
      </c>
      <c r="E3" t="n">
        <v>50</v>
      </c>
      <c r="G3" t="inlineStr">
        <is>
          <t>Yes</t>
        </is>
      </c>
      <c r="H3" t="n">
        <v>100</v>
      </c>
      <c r="J3" t="inlineStr">
        <is>
          <t>20–30 mph</t>
        </is>
      </c>
      <c r="K3" t="n">
        <v>25</v>
      </c>
      <c r="M3" t="inlineStr">
        <is>
          <t>30–40 mph</t>
        </is>
      </c>
      <c r="N3" t="n">
        <v>25</v>
      </c>
      <c r="P3" t="inlineStr">
        <is>
          <t>82.0–86.9°F</t>
        </is>
      </c>
      <c r="Q3" t="n">
        <v>33</v>
      </c>
      <c r="S3" t="inlineStr">
        <is>
          <t>90–100°F</t>
        </is>
      </c>
      <c r="T3" t="n">
        <v>33</v>
      </c>
      <c r="V3" t="inlineStr">
        <is>
          <t>20–30 mph</t>
        </is>
      </c>
      <c r="W3" t="n">
        <v>25</v>
      </c>
      <c r="Y3" t="inlineStr">
        <is>
          <t>Heat Index</t>
        </is>
      </c>
      <c r="Z3" t="n">
        <v>0</v>
      </c>
      <c r="AB3" t="inlineStr">
        <is>
          <t>Trace–0.10"</t>
        </is>
      </c>
      <c r="AC3" t="n">
        <v>33</v>
      </c>
      <c r="AE3" t="inlineStr">
        <is>
          <t>1–3"</t>
        </is>
      </c>
      <c r="AF3" t="n">
        <v>33</v>
      </c>
      <c r="AH3" t="inlineStr">
        <is>
          <t>20–32°F</t>
        </is>
      </c>
      <c r="AI3" t="n">
        <v>25</v>
      </c>
    </row>
    <row r="4">
      <c r="A4" t="inlineStr">
        <is>
          <t>0.75–1.5"</t>
        </is>
      </c>
      <c r="B4" t="n">
        <v>67</v>
      </c>
      <c r="D4" t="inlineStr">
        <is>
          <t>≥1" diameter</t>
        </is>
      </c>
      <c r="E4" t="n">
        <v>100</v>
      </c>
      <c r="J4" t="inlineStr">
        <is>
          <t>30–40 mph</t>
        </is>
      </c>
      <c r="K4" t="n">
        <v>50</v>
      </c>
      <c r="M4" t="inlineStr">
        <is>
          <t>40–50 mph</t>
        </is>
      </c>
      <c r="N4" t="n">
        <v>50</v>
      </c>
      <c r="P4" t="inlineStr">
        <is>
          <t>87.0–89.9°F</t>
        </is>
      </c>
      <c r="Q4" t="n">
        <v>67</v>
      </c>
      <c r="S4" t="inlineStr">
        <is>
          <t>100–108°F</t>
        </is>
      </c>
      <c r="T4" t="n">
        <v>67</v>
      </c>
      <c r="V4" t="inlineStr">
        <is>
          <t>30–40 mph</t>
        </is>
      </c>
      <c r="W4" t="n">
        <v>50</v>
      </c>
      <c r="AB4" t="inlineStr">
        <is>
          <t>0.10–0.25"</t>
        </is>
      </c>
      <c r="AC4" t="n">
        <v>67</v>
      </c>
      <c r="AE4" t="inlineStr">
        <is>
          <t>3–6"</t>
        </is>
      </c>
      <c r="AF4" t="n">
        <v>67</v>
      </c>
      <c r="AH4" t="inlineStr">
        <is>
          <t>10–20°F</t>
        </is>
      </c>
      <c r="AI4" t="n">
        <v>50</v>
      </c>
    </row>
    <row r="5">
      <c r="A5" t="inlineStr">
        <is>
          <t>&gt;1.5"</t>
        </is>
      </c>
      <c r="B5" t="n">
        <v>100</v>
      </c>
      <c r="J5" t="inlineStr">
        <is>
          <t>40–50 mph</t>
        </is>
      </c>
      <c r="K5" t="n">
        <v>75</v>
      </c>
      <c r="M5" t="inlineStr">
        <is>
          <t>50–60 mph</t>
        </is>
      </c>
      <c r="N5" t="n">
        <v>75</v>
      </c>
      <c r="P5" t="inlineStr">
        <is>
          <t>≥90.0°F</t>
        </is>
      </c>
      <c r="Q5" t="n">
        <v>100</v>
      </c>
      <c r="S5" t="inlineStr">
        <is>
          <t>&gt;108°F</t>
        </is>
      </c>
      <c r="T5" t="n">
        <v>100</v>
      </c>
      <c r="V5" t="inlineStr">
        <is>
          <t>&gt;40 mph</t>
        </is>
      </c>
      <c r="W5" t="n">
        <v>75</v>
      </c>
      <c r="AB5" t="inlineStr">
        <is>
          <t>&gt;0.25"</t>
        </is>
      </c>
      <c r="AC5" t="n">
        <v>100</v>
      </c>
      <c r="AE5" t="inlineStr">
        <is>
          <t>&gt;6"</t>
        </is>
      </c>
      <c r="AF5" t="n">
        <v>100</v>
      </c>
      <c r="AH5" t="inlineStr">
        <is>
          <t>0–10°F</t>
        </is>
      </c>
      <c r="AI5" t="n">
        <v>75</v>
      </c>
    </row>
    <row r="6">
      <c r="J6" t="inlineStr">
        <is>
          <t>&gt;50 mph</t>
        </is>
      </c>
      <c r="K6" t="n">
        <v>100</v>
      </c>
      <c r="M6" t="inlineStr">
        <is>
          <t>&gt;60 mph</t>
        </is>
      </c>
      <c r="N6" t="n">
        <v>100</v>
      </c>
      <c r="AH6" t="inlineStr">
        <is>
          <t>&lt;0°F</t>
        </is>
      </c>
      <c r="AI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2026-07-01T13:59:16Z</dcterms:created>
  <dcterms:modified xsi:type="dcterms:W3CDTF">2026-07-01T14:20:30Z</dcterms:modified>
  <cp:lastModifiedBy>Hill, Harrison</cp:lastModifiedBy>
</cp:coreProperties>
</file>